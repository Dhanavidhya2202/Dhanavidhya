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5.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6.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7.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1.xml" ContentType="application/vnd.openxmlformats-officedocument.spreadsheetml.pivotTable+xml"/>
  <Override PartName="/xl/drawings/drawing10.xml" ContentType="application/vnd.openxmlformats-officedocument.drawing+xml"/>
  <Override PartName="/xl/slicers/slicer1.xml" ContentType="application/vnd.ms-excel.slicer+xml"/>
  <Override PartName="/xl/drawings/drawing11.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Data Analytics\Excel\dashboard\"/>
    </mc:Choice>
  </mc:AlternateContent>
  <bookViews>
    <workbookView xWindow="-105" yWindow="-105" windowWidth="23250" windowHeight="12450" activeTab="12"/>
  </bookViews>
  <sheets>
    <sheet name="global_cvd_burden" sheetId="1" r:id="rId1"/>
    <sheet name="population" sheetId="3" state="hidden" r:id="rId2"/>
    <sheet name="M&amp;F" sheetId="5" state="hidden" r:id="rId3"/>
    <sheet name="Age" sheetId="6" state="hidden" r:id="rId4"/>
    <sheet name="Risk" sheetId="7" state="hidden" r:id="rId5"/>
    <sheet name="Smoking" sheetId="8" state="hidden" r:id="rId6"/>
    <sheet name="Diabetes" sheetId="9" state="hidden" r:id="rId7"/>
    <sheet name="Life" sheetId="10" state="hidden" r:id="rId8"/>
    <sheet name="Health" sheetId="11" state="hidden" r:id="rId9"/>
    <sheet name="CVD" sheetId="12" state="hidden" r:id="rId10"/>
    <sheet name="YEAR" sheetId="14" state="hidden" r:id="rId11"/>
    <sheet name="TABLE" sheetId="2" r:id="rId12"/>
    <sheet name="Dashboard" sheetId="13" r:id="rId13"/>
  </sheets>
  <definedNames>
    <definedName name="age">global_cvd_burden!$E:$E</definedName>
    <definedName name="cases">global_cvd_burden!$I:$I</definedName>
    <definedName name="country">global_cvd_burden!$B:$B</definedName>
    <definedName name="deaths">global_cvd_burden!$J:$J</definedName>
    <definedName name="diabetes">global_cvd_burden!$N:$N</definedName>
    <definedName name="female_p">global_cvd_burden!$H:$H</definedName>
    <definedName name="health">global_cvd_burden!$Q:$Q</definedName>
    <definedName name="hypertension">global_cvd_burden!$O:$O</definedName>
    <definedName name="ID">global_cvd_burden!$A:$A</definedName>
    <definedName name="life">global_cvd_burden!$S:$S</definedName>
    <definedName name="male_p">global_cvd_burden!$G:$G</definedName>
    <definedName name="obesity">global_cvd_burden!$M:$M</definedName>
    <definedName name="physical">global_cvd_burden!$P:$P</definedName>
    <definedName name="population">global_cvd_burden!$F:$F</definedName>
    <definedName name="prevalence">global_cvd_burden!$K:$K</definedName>
    <definedName name="region">global_cvd_burden!$C:$C</definedName>
    <definedName name="risk">global_cvd_burden!$R:$R</definedName>
    <definedName name="Slicer_Year">#N/A</definedName>
    <definedName name="smoking">global_cvd_burden!$L:$L</definedName>
    <definedName name="year">global_cvd_burden!$D:$D</definedName>
  </definedNames>
  <calcPr calcId="152511"/>
  <pivotCaches>
    <pivotCache cacheId="0" r:id="rId14"/>
    <pivotCache cacheId="1" r:id="rId15"/>
    <pivotCache cacheId="2" r:id="rId16"/>
    <pivotCache cacheId="3" r:id="rId17"/>
    <pivotCache cacheId="4" r:id="rId18"/>
    <pivotCache cacheId="5" r:id="rId19"/>
    <pivotCache cacheId="6" r:id="rId20"/>
    <pivotCache cacheId="7" r:id="rId21"/>
    <pivotCache cacheId="8" r:id="rId22"/>
    <pivotCache cacheId="9" r:id="rId23"/>
  </pivotCaches>
  <extLst>
    <ext xmlns:x14="http://schemas.microsoft.com/office/spreadsheetml/2009/9/main" uri="{BBE1A952-AA13-448e-AADC-164F8A28A991}">
      <x14:slicerCaches>
        <x14:slicerCache r:id="rId2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 l="1"/>
  <c r="N20" i="2" l="1"/>
  <c r="N21" i="2"/>
  <c r="N22" i="2"/>
  <c r="N23" i="2"/>
  <c r="N24" i="2"/>
  <c r="N19" i="2"/>
  <c r="N14" i="2"/>
  <c r="N15" i="2"/>
  <c r="N13" i="2"/>
  <c r="N5" i="2"/>
  <c r="N6" i="2"/>
  <c r="N4" i="2"/>
  <c r="K20" i="2"/>
  <c r="K21" i="2"/>
  <c r="K22" i="2"/>
  <c r="K23" i="2"/>
  <c r="K24" i="2"/>
  <c r="K19" i="2"/>
  <c r="M18" i="2" a="1"/>
  <c r="M18" i="2" s="1"/>
  <c r="M12" i="2" a="1"/>
  <c r="M12" i="2" s="1"/>
  <c r="M3" i="2" a="1"/>
  <c r="M3" i="2" s="1"/>
  <c r="J18" i="2" a="1"/>
  <c r="J18" i="2" s="1"/>
  <c r="K14" i="2"/>
  <c r="K15" i="2"/>
  <c r="K13" i="2"/>
  <c r="J12" i="2" a="1"/>
  <c r="J12" i="2" s="1"/>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13" i="2"/>
  <c r="G12" i="2" a="1"/>
  <c r="G12" i="2" s="1"/>
  <c r="E13" i="2"/>
  <c r="E14" i="2"/>
  <c r="E15" i="2"/>
  <c r="E16" i="2"/>
  <c r="E17" i="2"/>
  <c r="E18" i="2"/>
  <c r="D12" i="2" a="1"/>
  <c r="D12" i="2" s="1"/>
  <c r="K5" i="2"/>
  <c r="K6" i="2"/>
  <c r="K4" i="2"/>
  <c r="J3" i="2" a="1"/>
  <c r="J3" i="2" s="1"/>
  <c r="H5" i="2"/>
  <c r="H6" i="2"/>
  <c r="H7" i="2"/>
  <c r="H8" i="2"/>
  <c r="H9" i="2"/>
  <c r="G5" i="2"/>
  <c r="G6" i="2"/>
  <c r="G7" i="2"/>
  <c r="G8" i="2"/>
  <c r="G9" i="2"/>
  <c r="G4" i="2"/>
  <c r="F3" i="2" a="1"/>
  <c r="F3" i="2" s="1"/>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4" i="2"/>
  <c r="D3" i="2" a="1"/>
  <c r="D3" i="2" s="1"/>
  <c r="A3" i="2" a="1"/>
  <c r="A3" i="2" s="1"/>
  <c r="M25" i="2"/>
  <c r="M24" i="2"/>
  <c r="M23" i="2"/>
  <c r="M22" i="2"/>
  <c r="M21" i="2"/>
  <c r="M20" i="2"/>
  <c r="M19" i="2"/>
  <c r="J25" i="2"/>
  <c r="J24" i="2"/>
  <c r="J23" i="2"/>
  <c r="J22" i="2"/>
  <c r="J21" i="2"/>
  <c r="J20" i="2"/>
  <c r="J19" i="2"/>
  <c r="M16" i="2"/>
  <c r="M15" i="2"/>
  <c r="M14" i="2"/>
  <c r="M13" i="2"/>
  <c r="J16" i="2"/>
  <c r="J15" i="2"/>
  <c r="J14" i="2"/>
  <c r="J13" i="2"/>
  <c r="G84" i="2"/>
  <c r="G83" i="2"/>
  <c r="G82" i="2"/>
  <c r="G81" i="2"/>
  <c r="G80" i="2"/>
  <c r="G79" i="2"/>
  <c r="G78" i="2"/>
  <c r="G77" i="2"/>
  <c r="G76" i="2"/>
  <c r="G75" i="2"/>
  <c r="G74" i="2"/>
  <c r="G73" i="2"/>
  <c r="G72" i="2"/>
  <c r="G71" i="2"/>
  <c r="G70" i="2"/>
  <c r="G69" i="2"/>
  <c r="G68" i="2"/>
  <c r="G67" i="2"/>
  <c r="G66" i="2"/>
  <c r="G65" i="2"/>
  <c r="G64" i="2"/>
  <c r="G63" i="2"/>
  <c r="G62" i="2"/>
  <c r="G61" i="2"/>
  <c r="G60" i="2"/>
  <c r="G59" i="2"/>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D19" i="2"/>
  <c r="D18" i="2"/>
  <c r="D17" i="2"/>
  <c r="D16" i="2"/>
  <c r="D15" i="2"/>
  <c r="D14" i="2"/>
  <c r="D13" i="2"/>
  <c r="M7" i="2"/>
  <c r="M6" i="2"/>
  <c r="M5" i="2"/>
  <c r="M4" i="2"/>
  <c r="J7" i="2"/>
  <c r="J6" i="2"/>
  <c r="J5" i="2"/>
  <c r="J4" i="2"/>
  <c r="F10" i="2"/>
  <c r="F9" i="2"/>
  <c r="F8" i="2"/>
  <c r="F7" i="2"/>
  <c r="F6" i="2"/>
  <c r="F5" i="2"/>
  <c r="F4" i="2"/>
  <c r="D10" i="2"/>
  <c r="D9" i="2"/>
  <c r="D8" i="2"/>
  <c r="D7" i="2"/>
  <c r="D6" i="2"/>
  <c r="D5" i="2"/>
  <c r="D4" i="2"/>
  <c r="A75" i="2"/>
  <c r="A74" i="2"/>
  <c r="A73" i="2"/>
  <c r="A72" i="2"/>
  <c r="A71" i="2"/>
  <c r="A70" i="2"/>
  <c r="A69" i="2"/>
  <c r="A68" i="2"/>
  <c r="A67" i="2"/>
  <c r="A66" i="2"/>
  <c r="A65" i="2"/>
  <c r="A64" i="2"/>
  <c r="A63" i="2"/>
  <c r="A62" i="2"/>
  <c r="A61" i="2"/>
  <c r="A60" i="2"/>
  <c r="A59" i="2"/>
  <c r="A58" i="2"/>
  <c r="A57" i="2"/>
  <c r="A56" i="2"/>
  <c r="A55" i="2"/>
  <c r="A54" i="2"/>
  <c r="A53" i="2"/>
  <c r="A52" i="2"/>
  <c r="A51" i="2"/>
  <c r="A50" i="2"/>
  <c r="A49" i="2"/>
  <c r="A48" i="2"/>
  <c r="A47" i="2"/>
  <c r="A46" i="2"/>
  <c r="A45" i="2"/>
  <c r="A44" i="2"/>
  <c r="A43" i="2"/>
  <c r="A42" i="2"/>
  <c r="A41" i="2"/>
  <c r="A40"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A10" i="2"/>
  <c r="A9" i="2"/>
  <c r="A8" i="2"/>
  <c r="A7" i="2"/>
  <c r="A6" i="2"/>
  <c r="A5" i="2"/>
  <c r="A4" i="2"/>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<sst xmlns="http://schemas.openxmlformats.org/spreadsheetml/2006/main" count="4069" uniqueCount="116">
  <si>
    <t>Country_ID</t>
  </si>
  <si>
    <t>Country</t>
  </si>
  <si>
    <t>Region</t>
  </si>
  <si>
    <t>Year</t>
  </si>
  <si>
    <t>Age_Group</t>
  </si>
  <si>
    <t>Population</t>
  </si>
  <si>
    <t>Male_Population</t>
  </si>
  <si>
    <t>Female_Population</t>
  </si>
  <si>
    <t>CVD_Cases</t>
  </si>
  <si>
    <t>CVD_Deaths</t>
  </si>
  <si>
    <t>CVD_Prevalence_%</t>
  </si>
  <si>
    <t>Smoking_Rate_%</t>
  </si>
  <si>
    <t>Obesity_Rate_%</t>
  </si>
  <si>
    <t>Diabetes_Rate_%</t>
  </si>
  <si>
    <t>Hypertension_Rate_%</t>
  </si>
  <si>
    <t>Physical_Inactivity_%</t>
  </si>
  <si>
    <t>Health_Expenditure_USD</t>
  </si>
  <si>
    <t>Risk_Index</t>
  </si>
  <si>
    <t>Life_Expectancy</t>
  </si>
  <si>
    <t>USA</t>
  </si>
  <si>
    <t>North America</t>
  </si>
  <si>
    <t>18-39</t>
  </si>
  <si>
    <t>40-59</t>
  </si>
  <si>
    <t>60+</t>
  </si>
  <si>
    <t>Canada</t>
  </si>
  <si>
    <t>Mexico</t>
  </si>
  <si>
    <t>Brazil</t>
  </si>
  <si>
    <t>South America</t>
  </si>
  <si>
    <t>Argentina</t>
  </si>
  <si>
    <t>Chile</t>
  </si>
  <si>
    <t>Peru</t>
  </si>
  <si>
    <t>Colombia</t>
  </si>
  <si>
    <t>UK</t>
  </si>
  <si>
    <t>Europe</t>
  </si>
  <si>
    <t>Germany</t>
  </si>
  <si>
    <t>France</t>
  </si>
  <si>
    <t>Italy</t>
  </si>
  <si>
    <t>Spain</t>
  </si>
  <si>
    <t>Netherlands</t>
  </si>
  <si>
    <t>Sweden</t>
  </si>
  <si>
    <t>Norway</t>
  </si>
  <si>
    <t>Belgium</t>
  </si>
  <si>
    <t>Austria</t>
  </si>
  <si>
    <t>Switzerland</t>
  </si>
  <si>
    <t>Denmark</t>
  </si>
  <si>
    <t>Finland</t>
  </si>
  <si>
    <t>Poland</t>
  </si>
  <si>
    <t>Portugal</t>
  </si>
  <si>
    <t>Greece</t>
  </si>
  <si>
    <t>Czech Republic</t>
  </si>
  <si>
    <t>Hungary</t>
  </si>
  <si>
    <t>Romania</t>
  </si>
  <si>
    <t>Bulgaria</t>
  </si>
  <si>
    <t>Russia</t>
  </si>
  <si>
    <t>Ukraine</t>
  </si>
  <si>
    <t>India</t>
  </si>
  <si>
    <t>Asia</t>
  </si>
  <si>
    <t>China</t>
  </si>
  <si>
    <t>Japan</t>
  </si>
  <si>
    <t>South Korea</t>
  </si>
  <si>
    <t>Indonesia</t>
  </si>
  <si>
    <t>Thailand</t>
  </si>
  <si>
    <t>Malaysia</t>
  </si>
  <si>
    <t>Vietnam</t>
  </si>
  <si>
    <t>Singapore</t>
  </si>
  <si>
    <t>Philippines</t>
  </si>
  <si>
    <t>Bangladesh</t>
  </si>
  <si>
    <t>Pakistan</t>
  </si>
  <si>
    <t>Sri Lanka</t>
  </si>
  <si>
    <t>Turkey</t>
  </si>
  <si>
    <t>Israel</t>
  </si>
  <si>
    <t>UAE</t>
  </si>
  <si>
    <t>Saudi Arabia</t>
  </si>
  <si>
    <t>Qatar</t>
  </si>
  <si>
    <t>Australia</t>
  </si>
  <si>
    <t>Oceania</t>
  </si>
  <si>
    <t>New Zealand</t>
  </si>
  <si>
    <t>South Africa</t>
  </si>
  <si>
    <t>Africa</t>
  </si>
  <si>
    <t>Nigeria</t>
  </si>
  <si>
    <t>Egypt</t>
  </si>
  <si>
    <t>Kenya</t>
  </si>
  <si>
    <t>Ethiopia</t>
  </si>
  <si>
    <t>Morocco</t>
  </si>
  <si>
    <t>Tunisia</t>
  </si>
  <si>
    <t>Ghana</t>
  </si>
  <si>
    <t>Tanzania</t>
  </si>
  <si>
    <t>Algeria</t>
  </si>
  <si>
    <t>Angola</t>
  </si>
  <si>
    <t>Sudan</t>
  </si>
  <si>
    <t>Uganda</t>
  </si>
  <si>
    <t>Zambia</t>
  </si>
  <si>
    <t>Zimbabwe</t>
  </si>
  <si>
    <t>Senegal</t>
  </si>
  <si>
    <t>Ivory Coast</t>
  </si>
  <si>
    <t>Cameroon</t>
  </si>
  <si>
    <t>Botswana</t>
  </si>
  <si>
    <t>Namibia</t>
  </si>
  <si>
    <t>Rwanda</t>
  </si>
  <si>
    <t>Selection of year</t>
  </si>
  <si>
    <t>Death</t>
  </si>
  <si>
    <t>Smoking_rate</t>
  </si>
  <si>
    <t>Diabetes</t>
  </si>
  <si>
    <t>Risk_index</t>
  </si>
  <si>
    <t>Health_Expenditure</t>
  </si>
  <si>
    <t>Row Labels</t>
  </si>
  <si>
    <t>Grand Total</t>
  </si>
  <si>
    <t>Sum of Population</t>
  </si>
  <si>
    <t>Sum of Male_Population</t>
  </si>
  <si>
    <t>Sum of Female_Population</t>
  </si>
  <si>
    <t>Sum of Risk_index</t>
  </si>
  <si>
    <t>Sum of Smoking_rate</t>
  </si>
  <si>
    <t>Sum of Diabetes</t>
  </si>
  <si>
    <t>Sum of Life_Expectancy</t>
  </si>
  <si>
    <t>Sum of Health_Expenditure</t>
  </si>
  <si>
    <t>Sum of CVD_Cases</t>
  </si>
</sst>
</file>

<file path=xl/styles.xml><?xml version="1.0" encoding="utf-8"?>
<styleSheet xmlns="http://schemas.openxmlformats.org/spreadsheetml/2006/main" xmlns:mc="http://schemas.openxmlformats.org/markup-compatibility/2006" xmlns:x14ac="http://schemas.microsoft.com/office/spreadsheetml/2009/9/ac" mc:Ignorable="x14ac">
  <fonts count="19">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alibri"/>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5D5D"/>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18" fillId="0" borderId="0" xfId="0" applyFont="1"/>
    <xf numFmtId="0" fontId="0" fillId="0" borderId="10" xfId="0" applyBorder="1"/>
    <xf numFmtId="0" fontId="0" fillId="33" borderId="10" xfId="0" applyFill="1" applyBorder="1"/>
    <xf numFmtId="0" fontId="18" fillId="33" borderId="10" xfId="0" applyFont="1" applyFill="1" applyBorder="1"/>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
      <font>
        <b val="0"/>
        <i val="0"/>
        <strike val="0"/>
        <condense val="0"/>
        <extend val="0"/>
        <outline val="0"/>
        <shadow val="0"/>
        <u val="none"/>
        <vertAlign val="baseline"/>
        <sz val="11"/>
        <color theme="1"/>
        <name val="Calibri"/>
        <scheme val="none"/>
      </font>
    </dxf>
  </dxfs>
  <tableStyles count="0" defaultTableStyle="TableStyleMedium2" defaultPivotStyle="PivotStyleLight16"/>
  <colors>
    <mruColors>
      <color rgb="FFF80819"/>
      <color rgb="FFFDC4B9"/>
      <color rgb="FFF9272C"/>
      <color rgb="FFEAEAEA"/>
      <color rgb="FFFF3300"/>
      <color rgb="FFF28285"/>
      <color rgb="FFF47C68"/>
      <color rgb="FFFF5D5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pivotCacheDefinition" Target="pivotCache/pivotCacheDefinition8.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[global_cvd_burden_2021_2026_73_countries_1300_rows.csv.xlsx]population!PivotTable1</c:name>
    <c:fmtId val="0"/>
  </c:pivotSource>
  <c:chart>
    <c:autoTitleDeleted val="1"/>
    <c:pivotFmts>
      <c:pivotFmt>
        <c:idx val="0"/>
        <c:spPr>
          <a:solidFill>
            <a:srgbClr val="FF5D5D"/>
          </a:solidFill>
          <a:ln>
            <a:noFill/>
          </a:ln>
          <a:effectLst/>
        </c:spPr>
        <c:marker>
          <c:symbol val="none"/>
        </c:marker>
      </c:pivotFmt>
    </c:pivotFmts>
    <c:plotArea>
      <c:layout/>
      <c:areaChart>
        <c:grouping val="standard"/>
        <c:varyColors val="0"/>
        <c:ser>
          <c:idx val="0"/>
          <c:order val="0"/>
          <c:tx>
            <c:strRef>
              <c:f>population!$B$3</c:f>
              <c:strCache>
                <c:ptCount val="1"/>
                <c:pt idx="0">
                  <c:v>Total</c:v>
                </c:pt>
              </c:strCache>
            </c:strRef>
          </c:tx>
          <c:spPr>
            <a:solidFill>
              <a:srgbClr val="FF5D5D"/>
            </a:solidFill>
            <a:ln>
              <a:noFill/>
            </a:ln>
            <a:effectLst/>
          </c:spPr>
          <c:cat>
            <c:strRef>
              <c:f>population!$A$4:$A$75</c:f>
              <c:strCache>
                <c:ptCount val="71"/>
                <c:pt idx="0">
                  <c:v>Algeria</c:v>
                </c:pt>
                <c:pt idx="1">
                  <c:v>Angola</c:v>
                </c:pt>
                <c:pt idx="2">
                  <c:v>Argentina</c:v>
                </c:pt>
                <c:pt idx="3">
                  <c:v>Australia</c:v>
                </c:pt>
                <c:pt idx="4">
                  <c:v>Austria</c:v>
                </c:pt>
                <c:pt idx="5">
                  <c:v>Bangladesh</c:v>
                </c:pt>
                <c:pt idx="6">
                  <c:v>Belgium</c:v>
                </c:pt>
                <c:pt idx="7">
                  <c:v>Botswana</c:v>
                </c:pt>
                <c:pt idx="8">
                  <c:v>Brazil</c:v>
                </c:pt>
                <c:pt idx="9">
                  <c:v>Bulgaria</c:v>
                </c:pt>
                <c:pt idx="10">
                  <c:v>Cameroon</c:v>
                </c:pt>
                <c:pt idx="11">
                  <c:v>Canada</c:v>
                </c:pt>
                <c:pt idx="12">
                  <c:v>Chile</c:v>
                </c:pt>
                <c:pt idx="13">
                  <c:v>China</c:v>
                </c:pt>
                <c:pt idx="14">
                  <c:v>Colombia</c:v>
                </c:pt>
                <c:pt idx="15">
                  <c:v>Czech Republic</c:v>
                </c:pt>
                <c:pt idx="16">
                  <c:v>Denmark</c:v>
                </c:pt>
                <c:pt idx="17">
                  <c:v>Egypt</c:v>
                </c:pt>
                <c:pt idx="18">
                  <c:v>Ethiopia</c:v>
                </c:pt>
                <c:pt idx="19">
                  <c:v>Finland</c:v>
                </c:pt>
                <c:pt idx="20">
                  <c:v>France</c:v>
                </c:pt>
                <c:pt idx="21">
                  <c:v>Germany</c:v>
                </c:pt>
                <c:pt idx="22">
                  <c:v>Ghana</c:v>
                </c:pt>
                <c:pt idx="23">
                  <c:v>Greece</c:v>
                </c:pt>
                <c:pt idx="24">
                  <c:v>Hungary</c:v>
                </c:pt>
                <c:pt idx="25">
                  <c:v>India</c:v>
                </c:pt>
                <c:pt idx="26">
                  <c:v>Indonesia</c:v>
                </c:pt>
                <c:pt idx="27">
                  <c:v>Israel</c:v>
                </c:pt>
                <c:pt idx="28">
                  <c:v>Italy</c:v>
                </c:pt>
                <c:pt idx="29">
                  <c:v>Ivory Coast</c:v>
                </c:pt>
                <c:pt idx="30">
                  <c:v>Japan</c:v>
                </c:pt>
                <c:pt idx="31">
                  <c:v>Kenya</c:v>
                </c:pt>
                <c:pt idx="32">
                  <c:v>Malaysia</c:v>
                </c:pt>
                <c:pt idx="33">
                  <c:v>Mexico</c:v>
                </c:pt>
                <c:pt idx="34">
                  <c:v>Morocco</c:v>
                </c:pt>
                <c:pt idx="35">
                  <c:v>Namibia</c:v>
                </c:pt>
                <c:pt idx="36">
                  <c:v>Netherlands</c:v>
                </c:pt>
                <c:pt idx="37">
                  <c:v>New Zealand</c:v>
                </c:pt>
                <c:pt idx="38">
                  <c:v>Nigeria</c:v>
                </c:pt>
                <c:pt idx="39">
                  <c:v>Norway</c:v>
                </c:pt>
                <c:pt idx="40">
                  <c:v>Pakistan</c:v>
                </c:pt>
                <c:pt idx="41">
                  <c:v>Peru</c:v>
                </c:pt>
                <c:pt idx="42">
                  <c:v>Philippines</c:v>
                </c:pt>
                <c:pt idx="43">
                  <c:v>Poland</c:v>
                </c:pt>
                <c:pt idx="44">
                  <c:v>Portugal</c:v>
                </c:pt>
                <c:pt idx="45">
                  <c:v>Qatar</c:v>
                </c:pt>
                <c:pt idx="46">
                  <c:v>Romania</c:v>
                </c:pt>
                <c:pt idx="47">
                  <c:v>Russia</c:v>
                </c:pt>
                <c:pt idx="48">
                  <c:v>Rwanda</c:v>
                </c:pt>
                <c:pt idx="49">
                  <c:v>Saudi Arabia</c:v>
                </c:pt>
                <c:pt idx="50">
                  <c:v>Senegal</c:v>
                </c:pt>
                <c:pt idx="51">
                  <c:v>Singapore</c:v>
                </c:pt>
                <c:pt idx="52">
                  <c:v>South Africa</c:v>
                </c:pt>
                <c:pt idx="53">
                  <c:v>South Korea</c:v>
                </c:pt>
                <c:pt idx="54">
                  <c:v>Spain</c:v>
                </c:pt>
                <c:pt idx="55">
                  <c:v>Sri Lanka</c:v>
                </c:pt>
                <c:pt idx="56">
                  <c:v>Sudan</c:v>
                </c:pt>
                <c:pt idx="57">
                  <c:v>Sweden</c:v>
                </c:pt>
                <c:pt idx="58">
                  <c:v>Switzerland</c:v>
                </c:pt>
                <c:pt idx="59">
                  <c:v>Tanzania</c:v>
                </c:pt>
                <c:pt idx="60">
                  <c:v>Thailand</c:v>
                </c:pt>
                <c:pt idx="61">
                  <c:v>Tunisia</c:v>
                </c:pt>
                <c:pt idx="62">
                  <c:v>Turkey</c:v>
                </c:pt>
                <c:pt idx="63">
                  <c:v>UAE</c:v>
                </c:pt>
                <c:pt idx="64">
                  <c:v>Uganda</c:v>
                </c:pt>
                <c:pt idx="65">
                  <c:v>UK</c:v>
                </c:pt>
                <c:pt idx="66">
                  <c:v>Ukraine</c:v>
                </c:pt>
                <c:pt idx="67">
                  <c:v>USA</c:v>
                </c:pt>
                <c:pt idx="68">
                  <c:v>Vietnam</c:v>
                </c:pt>
                <c:pt idx="69">
                  <c:v>Zambia</c:v>
                </c:pt>
                <c:pt idx="70">
                  <c:v>Zimbabwe</c:v>
                </c:pt>
              </c:strCache>
            </c:strRef>
          </c:cat>
          <c:val>
            <c:numRef>
              <c:f>population!$B$4:$B$75</c:f>
              <c:numCache>
                <c:formatCode>General</c:formatCode>
                <c:ptCount val="71"/>
                <c:pt idx="0">
                  <c:v>201226927</c:v>
                </c:pt>
                <c:pt idx="1">
                  <c:v>355207811</c:v>
                </c:pt>
                <c:pt idx="2">
                  <c:v>302709017</c:v>
                </c:pt>
                <c:pt idx="3">
                  <c:v>273170517</c:v>
                </c:pt>
                <c:pt idx="4">
                  <c:v>435139930</c:v>
                </c:pt>
                <c:pt idx="5">
                  <c:v>419625096</c:v>
                </c:pt>
                <c:pt idx="6">
                  <c:v>333570067</c:v>
                </c:pt>
                <c:pt idx="7">
                  <c:v>313783459</c:v>
                </c:pt>
                <c:pt idx="8">
                  <c:v>258944524</c:v>
                </c:pt>
                <c:pt idx="9">
                  <c:v>256475876</c:v>
                </c:pt>
                <c:pt idx="10">
                  <c:v>397935382</c:v>
                </c:pt>
                <c:pt idx="11">
                  <c:v>432460070</c:v>
                </c:pt>
                <c:pt idx="12">
                  <c:v>525629365</c:v>
                </c:pt>
                <c:pt idx="13">
                  <c:v>279879083</c:v>
                </c:pt>
                <c:pt idx="14">
                  <c:v>363998341</c:v>
                </c:pt>
                <c:pt idx="15">
                  <c:v>215268629</c:v>
                </c:pt>
                <c:pt idx="16">
                  <c:v>334983307</c:v>
                </c:pt>
                <c:pt idx="17">
                  <c:v>378452121</c:v>
                </c:pt>
                <c:pt idx="18">
                  <c:v>442949255</c:v>
                </c:pt>
                <c:pt idx="19">
                  <c:v>415691408</c:v>
                </c:pt>
                <c:pt idx="20">
                  <c:v>247967993</c:v>
                </c:pt>
                <c:pt idx="21">
                  <c:v>157955383</c:v>
                </c:pt>
                <c:pt idx="22">
                  <c:v>261426535</c:v>
                </c:pt>
                <c:pt idx="23">
                  <c:v>459277723</c:v>
                </c:pt>
                <c:pt idx="24">
                  <c:v>272542057</c:v>
                </c:pt>
                <c:pt idx="25">
                  <c:v>326369701</c:v>
                </c:pt>
                <c:pt idx="26">
                  <c:v>505297611</c:v>
                </c:pt>
                <c:pt idx="27">
                  <c:v>330641994</c:v>
                </c:pt>
                <c:pt idx="28">
                  <c:v>253472098</c:v>
                </c:pt>
                <c:pt idx="29">
                  <c:v>235747842</c:v>
                </c:pt>
                <c:pt idx="30">
                  <c:v>374631626</c:v>
                </c:pt>
                <c:pt idx="31">
                  <c:v>377509409</c:v>
                </c:pt>
                <c:pt idx="32">
                  <c:v>259253608</c:v>
                </c:pt>
                <c:pt idx="33">
                  <c:v>404483131</c:v>
                </c:pt>
                <c:pt idx="34">
                  <c:v>191091026</c:v>
                </c:pt>
                <c:pt idx="35">
                  <c:v>355172651</c:v>
                </c:pt>
                <c:pt idx="36">
                  <c:v>409776057</c:v>
                </c:pt>
                <c:pt idx="37">
                  <c:v>415932585</c:v>
                </c:pt>
                <c:pt idx="38">
                  <c:v>264654928</c:v>
                </c:pt>
                <c:pt idx="39">
                  <c:v>339441045</c:v>
                </c:pt>
                <c:pt idx="40">
                  <c:v>197481500</c:v>
                </c:pt>
                <c:pt idx="41">
                  <c:v>335077150</c:v>
                </c:pt>
                <c:pt idx="42">
                  <c:v>325176369</c:v>
                </c:pt>
                <c:pt idx="43">
                  <c:v>136404477</c:v>
                </c:pt>
                <c:pt idx="44">
                  <c:v>360573339</c:v>
                </c:pt>
                <c:pt idx="45">
                  <c:v>321454874</c:v>
                </c:pt>
                <c:pt idx="46">
                  <c:v>434793610</c:v>
                </c:pt>
                <c:pt idx="47">
                  <c:v>259553646</c:v>
                </c:pt>
                <c:pt idx="48">
                  <c:v>403835455</c:v>
                </c:pt>
                <c:pt idx="49">
                  <c:v>259008089</c:v>
                </c:pt>
                <c:pt idx="50">
                  <c:v>364161823</c:v>
                </c:pt>
                <c:pt idx="51">
                  <c:v>255241567</c:v>
                </c:pt>
                <c:pt idx="52">
                  <c:v>209140859</c:v>
                </c:pt>
                <c:pt idx="53">
                  <c:v>369499204</c:v>
                </c:pt>
                <c:pt idx="54">
                  <c:v>165425123</c:v>
                </c:pt>
                <c:pt idx="55">
                  <c:v>315748921</c:v>
                </c:pt>
                <c:pt idx="56">
                  <c:v>219067365</c:v>
                </c:pt>
                <c:pt idx="57">
                  <c:v>393159200</c:v>
                </c:pt>
                <c:pt idx="58">
                  <c:v>361320978</c:v>
                </c:pt>
                <c:pt idx="59">
                  <c:v>240012784</c:v>
                </c:pt>
                <c:pt idx="60">
                  <c:v>393340437</c:v>
                </c:pt>
                <c:pt idx="61">
                  <c:v>194756088</c:v>
                </c:pt>
                <c:pt idx="62">
                  <c:v>110703039</c:v>
                </c:pt>
                <c:pt idx="63">
                  <c:v>239681575</c:v>
                </c:pt>
                <c:pt idx="64">
                  <c:v>458512499</c:v>
                </c:pt>
                <c:pt idx="65">
                  <c:v>296699949</c:v>
                </c:pt>
                <c:pt idx="66">
                  <c:v>209135441</c:v>
                </c:pt>
                <c:pt idx="67">
                  <c:v>127650610</c:v>
                </c:pt>
                <c:pt idx="68">
                  <c:v>418372933</c:v>
                </c:pt>
                <c:pt idx="69">
                  <c:v>265135882</c:v>
                </c:pt>
                <c:pt idx="70">
                  <c:v>261280093</c:v>
                </c:pt>
              </c:numCache>
            </c:numRef>
          </c:val>
        </c:ser>
        <c:dLbls>
          <c:showLegendKey val="0"/>
          <c:showVal val="0"/>
          <c:showCatName val="0"/>
          <c:showSerName val="0"/>
          <c:showPercent val="0"/>
          <c:showBubbleSize val="0"/>
        </c:dLbls>
        <c:axId val="269962960"/>
        <c:axId val="269963344"/>
      </c:areaChart>
      <c:catAx>
        <c:axId val="269962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963344"/>
        <c:crosses val="autoZero"/>
        <c:auto val="1"/>
        <c:lblAlgn val="ctr"/>
        <c:lblOffset val="100"/>
        <c:noMultiLvlLbl val="0"/>
      </c:catAx>
      <c:valAx>
        <c:axId val="26996334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962960"/>
        <c:crosses val="autoZero"/>
        <c:crossBetween val="midCat"/>
      </c:valAx>
      <c:spPr>
        <a:noFill/>
        <a:ln>
          <a:noFill/>
        </a:ln>
        <a:effectLst/>
      </c:spPr>
    </c:plotArea>
    <c:plotVisOnly val="1"/>
    <c:dispBlanksAs val="zero"/>
    <c:showDLblsOverMax val="0"/>
  </c:chart>
  <c:spPr>
    <a:solidFill>
      <a:schemeClr val="accent2">
        <a:lumMod val="20000"/>
        <a:lumOff val="80000"/>
      </a:schemeClr>
    </a:solidFill>
    <a:ln w="9525" cap="flat" cmpd="sng" algn="ctr">
      <a:solidFill>
        <a:schemeClr val="tx1">
          <a:lumMod val="65000"/>
          <a:lumOff val="35000"/>
          <a:alpha val="8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[global_cvd_burden_2021_2026_73_countries_1300_rows.csv.xlsx]M&amp;F!PivotTable5</c:name>
    <c:fmtId val="0"/>
  </c:pivotSource>
  <c:chart>
    <c:autoTitleDeleted val="1"/>
    <c:pivotFmts>
      <c:pivotFmt>
        <c:idx val="0"/>
        <c:spPr>
          <a:solidFill>
            <a:schemeClr val="accent1"/>
          </a:solidFill>
          <a:ln>
            <a:noFill/>
          </a:ln>
          <a:effectLst/>
          <a:sp3d/>
        </c:spPr>
        <c:marker>
          <c:symbol val="none"/>
        </c:marker>
      </c:pivotFmt>
      <c:pivotFmt>
        <c:idx val="1"/>
        <c:spPr>
          <a:solidFill>
            <a:srgbClr val="FDC4B9"/>
          </a:solidFill>
          <a:ln>
            <a:noFill/>
          </a:ln>
          <a:effectLst/>
          <a:sp3d/>
        </c:spPr>
      </c:pivotFmt>
      <c:pivotFmt>
        <c:idx val="2"/>
        <c:spPr>
          <a:solidFill>
            <a:srgbClr val="F47C68"/>
          </a:solidFill>
          <a:ln>
            <a:noFill/>
          </a:ln>
          <a:effectLst/>
          <a:sp3d/>
        </c:spPr>
      </c:pivotFmt>
      <c:pivotFmt>
        <c:idx val="3"/>
        <c:spPr>
          <a:solidFill>
            <a:srgbClr val="F28285"/>
          </a:solidFill>
          <a:ln>
            <a:noFill/>
          </a:ln>
          <a:effectLst/>
          <a:sp3d/>
        </c:spPr>
      </c:pivotFmt>
      <c:pivotFmt>
        <c:idx val="4"/>
        <c:spPr>
          <a:solidFill>
            <a:srgbClr val="FF0000"/>
          </a:solidFill>
          <a:ln>
            <a:noFill/>
          </a:ln>
          <a:effectLst/>
          <a:sp3d/>
        </c:spPr>
      </c:pivotFmt>
      <c:pivotFmt>
        <c:idx val="5"/>
        <c:spPr>
          <a:solidFill>
            <a:srgbClr val="FF3300"/>
          </a:solidFill>
          <a:ln>
            <a:noFill/>
          </a:ln>
          <a:effectLst/>
          <a:sp3d/>
        </c:spPr>
      </c:pivotFmt>
      <c:pivotFmt>
        <c:idx val="6"/>
        <c:spPr>
          <a:solidFill>
            <a:srgbClr val="F9272C"/>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'M&amp;F'!$B$3</c:f>
              <c:strCache>
                <c:ptCount val="1"/>
                <c:pt idx="0">
                  <c:v>Total</c:v>
                </c:pt>
              </c:strCache>
            </c:strRef>
          </c:tx>
          <c:spPr>
            <a:solidFill>
              <a:schemeClr val="accent1"/>
            </a:solidFill>
            <a:ln>
              <a:noFill/>
            </a:ln>
            <a:effectLst/>
            <a:sp3d/>
          </c:spPr>
          <c:invertIfNegative val="0"/>
          <c:dPt>
            <c:idx val="0"/>
            <c:invertIfNegative val="0"/>
            <c:bubble3D val="0"/>
            <c:spPr>
              <a:solidFill>
                <a:srgbClr val="F9272C"/>
              </a:solidFill>
              <a:ln>
                <a:noFill/>
              </a:ln>
              <a:effectLst/>
              <a:sp3d/>
            </c:spPr>
          </c:dPt>
          <c:dPt>
            <c:idx val="1"/>
            <c:invertIfNegative val="0"/>
            <c:bubble3D val="0"/>
            <c:spPr>
              <a:solidFill>
                <a:srgbClr val="FF3300"/>
              </a:solidFill>
              <a:ln>
                <a:noFill/>
              </a:ln>
              <a:effectLst/>
              <a:sp3d/>
            </c:spPr>
          </c:dPt>
          <c:dPt>
            <c:idx val="2"/>
            <c:invertIfNegative val="0"/>
            <c:bubble3D val="0"/>
            <c:spPr>
              <a:solidFill>
                <a:srgbClr val="FF0000"/>
              </a:solidFill>
              <a:ln>
                <a:noFill/>
              </a:ln>
              <a:effectLst/>
              <a:sp3d/>
            </c:spPr>
          </c:dPt>
          <c:dPt>
            <c:idx val="3"/>
            <c:invertIfNegative val="0"/>
            <c:bubble3D val="0"/>
            <c:spPr>
              <a:solidFill>
                <a:srgbClr val="F28285"/>
              </a:solidFill>
              <a:ln>
                <a:noFill/>
              </a:ln>
              <a:effectLst/>
              <a:sp3d/>
            </c:spPr>
          </c:dPt>
          <c:dPt>
            <c:idx val="4"/>
            <c:invertIfNegative val="0"/>
            <c:bubble3D val="0"/>
            <c:spPr>
              <a:solidFill>
                <a:srgbClr val="F47C68"/>
              </a:solidFill>
              <a:ln>
                <a:noFill/>
              </a:ln>
              <a:effectLst/>
              <a:sp3d/>
            </c:spPr>
          </c:dPt>
          <c:dPt>
            <c:idx val="5"/>
            <c:invertIfNegative val="0"/>
            <c:bubble3D val="0"/>
            <c:spPr>
              <a:solidFill>
                <a:srgbClr val="FDC4B9"/>
              </a:solidFill>
              <a:ln>
                <a:noFill/>
              </a:ln>
              <a:effectLst/>
              <a:sp3d/>
            </c:spPr>
          </c:dPt>
          <c:cat>
            <c:strRef>
              <c:f>'M&amp;F'!$A$4:$A$10</c:f>
              <c:strCache>
                <c:ptCount val="6"/>
                <c:pt idx="0">
                  <c:v>Africa</c:v>
                </c:pt>
                <c:pt idx="1">
                  <c:v>Asia</c:v>
                </c:pt>
                <c:pt idx="2">
                  <c:v>Europe</c:v>
                </c:pt>
                <c:pt idx="3">
                  <c:v>North America</c:v>
                </c:pt>
                <c:pt idx="4">
                  <c:v>Oceania</c:v>
                </c:pt>
                <c:pt idx="5">
                  <c:v>South America</c:v>
                </c:pt>
              </c:strCache>
            </c:strRef>
          </c:cat>
          <c:val>
            <c:numRef>
              <c:f>'M&amp;F'!$B$4:$B$10</c:f>
              <c:numCache>
                <c:formatCode>General</c:formatCode>
                <c:ptCount val="6"/>
                <c:pt idx="0">
                  <c:v>3212384326</c:v>
                </c:pt>
                <c:pt idx="1">
                  <c:v>2854571363</c:v>
                </c:pt>
                <c:pt idx="2">
                  <c:v>3379723479</c:v>
                </c:pt>
                <c:pt idx="3">
                  <c:v>472386358</c:v>
                </c:pt>
                <c:pt idx="4">
                  <c:v>349704158</c:v>
                </c:pt>
                <c:pt idx="5">
                  <c:v>891536684</c:v>
                </c:pt>
              </c:numCache>
            </c:numRef>
          </c:val>
        </c:ser>
        <c:dLbls>
          <c:showLegendKey val="0"/>
          <c:showVal val="0"/>
          <c:showCatName val="0"/>
          <c:showSerName val="0"/>
          <c:showPercent val="0"/>
          <c:showBubbleSize val="0"/>
        </c:dLbls>
        <c:gapWidth val="150"/>
        <c:shape val="box"/>
        <c:axId val="83466736"/>
        <c:axId val="250676920"/>
        <c:axId val="0"/>
      </c:bar3DChart>
      <c:catAx>
        <c:axId val="8346673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676920"/>
        <c:crosses val="autoZero"/>
        <c:auto val="1"/>
        <c:lblAlgn val="ctr"/>
        <c:lblOffset val="100"/>
        <c:noMultiLvlLbl val="0"/>
      </c:catAx>
      <c:valAx>
        <c:axId val="250676920"/>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3466736"/>
        <c:crosses val="autoZero"/>
        <c:crossBetween val="between"/>
      </c:valAx>
      <c:spPr>
        <a:noFill/>
        <a:ln>
          <a:noFill/>
        </a:ln>
        <a:effectLst/>
      </c:spPr>
    </c:plotArea>
    <c:plotVisOnly val="1"/>
    <c:dispBlanksAs val="gap"/>
    <c:showDLblsOverMax val="0"/>
  </c:chart>
  <c:spPr>
    <a:solidFill>
      <a:schemeClr val="accent2">
        <a:lumMod val="20000"/>
        <a:lumOff val="80000"/>
      </a:schemeClr>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[global_cvd_burden_2021_2026_73_countries_1300_rows.csv.xlsx]M&amp;F!PivotTable6</c:name>
    <c:fmtId val="0"/>
  </c:pivotSource>
  <c:chart>
    <c:autoTitleDeleted val="1"/>
    <c:pivotFmts>
      <c:pivotFmt>
        <c:idx val="0"/>
        <c:spPr>
          <a:solidFill>
            <a:schemeClr val="accent1"/>
          </a:solidFill>
          <a:ln>
            <a:noFill/>
          </a:ln>
          <a:effectLst/>
        </c:spPr>
        <c:marker>
          <c:symbol val="none"/>
        </c:marker>
      </c:pivotFmt>
      <c:pivotFmt>
        <c:idx val="1"/>
        <c:spPr>
          <a:solidFill>
            <a:srgbClr val="FDC4B9"/>
          </a:solidFill>
          <a:ln>
            <a:noFill/>
          </a:ln>
          <a:effectLst/>
        </c:spPr>
      </c:pivotFmt>
      <c:pivotFmt>
        <c:idx val="2"/>
        <c:spPr>
          <a:solidFill>
            <a:srgbClr val="F28285"/>
          </a:solidFill>
          <a:ln>
            <a:noFill/>
          </a:ln>
          <a:effectLst/>
        </c:spPr>
      </c:pivotFmt>
      <c:pivotFmt>
        <c:idx val="3"/>
        <c:spPr>
          <a:solidFill>
            <a:srgbClr val="FF5D5D"/>
          </a:solidFill>
          <a:ln>
            <a:noFill/>
          </a:ln>
          <a:effectLst/>
        </c:spPr>
      </c:pivotFmt>
      <c:pivotFmt>
        <c:idx val="4"/>
        <c:spPr>
          <a:solidFill>
            <a:srgbClr val="FF0000"/>
          </a:solidFill>
          <a:ln>
            <a:noFill/>
          </a:ln>
          <a:effectLst/>
        </c:spPr>
      </c:pivotFmt>
      <c:pivotFmt>
        <c:idx val="5"/>
        <c:spPr>
          <a:solidFill>
            <a:srgbClr val="FF5D5D"/>
          </a:solidFill>
          <a:ln>
            <a:noFill/>
          </a:ln>
          <a:effectLst/>
        </c:spPr>
      </c:pivotFmt>
      <c:pivotFmt>
        <c:idx val="6"/>
        <c:spPr>
          <a:solidFill>
            <a:srgbClr val="F9272C"/>
          </a:solidFill>
          <a:ln>
            <a:noFill/>
          </a:ln>
          <a:effectLst/>
        </c:spPr>
      </c:pivotFmt>
    </c:pivotFmts>
    <c:plotArea>
      <c:layout/>
      <c:barChart>
        <c:barDir val="col"/>
        <c:grouping val="clustered"/>
        <c:varyColors val="0"/>
        <c:ser>
          <c:idx val="0"/>
          <c:order val="0"/>
          <c:tx>
            <c:strRef>
              <c:f>'M&amp;F'!$E$3</c:f>
              <c:strCache>
                <c:ptCount val="1"/>
                <c:pt idx="0">
                  <c:v>Total</c:v>
                </c:pt>
              </c:strCache>
            </c:strRef>
          </c:tx>
          <c:spPr>
            <a:solidFill>
              <a:schemeClr val="accent1"/>
            </a:solidFill>
            <a:ln>
              <a:noFill/>
            </a:ln>
            <a:effectLst/>
          </c:spPr>
          <c:invertIfNegative val="0"/>
          <c:dPt>
            <c:idx val="0"/>
            <c:invertIfNegative val="0"/>
            <c:bubble3D val="0"/>
            <c:spPr>
              <a:solidFill>
                <a:srgbClr val="FDC4B9"/>
              </a:solidFill>
              <a:ln>
                <a:noFill/>
              </a:ln>
              <a:effectLst/>
            </c:spPr>
          </c:dPt>
          <c:dPt>
            <c:idx val="1"/>
            <c:invertIfNegative val="0"/>
            <c:bubble3D val="0"/>
            <c:spPr>
              <a:solidFill>
                <a:srgbClr val="F28285"/>
              </a:solidFill>
              <a:ln>
                <a:noFill/>
              </a:ln>
              <a:effectLst/>
            </c:spPr>
          </c:dPt>
          <c:dPt>
            <c:idx val="2"/>
            <c:invertIfNegative val="0"/>
            <c:bubble3D val="0"/>
            <c:spPr>
              <a:solidFill>
                <a:srgbClr val="FF5D5D"/>
              </a:solidFill>
              <a:ln>
                <a:noFill/>
              </a:ln>
              <a:effectLst/>
            </c:spPr>
          </c:dPt>
          <c:dPt>
            <c:idx val="3"/>
            <c:invertIfNegative val="0"/>
            <c:bubble3D val="0"/>
            <c:spPr>
              <a:solidFill>
                <a:srgbClr val="FF0000"/>
              </a:solidFill>
              <a:ln>
                <a:noFill/>
              </a:ln>
              <a:effectLst/>
            </c:spPr>
          </c:dPt>
          <c:dPt>
            <c:idx val="4"/>
            <c:invertIfNegative val="0"/>
            <c:bubble3D val="0"/>
            <c:spPr>
              <a:solidFill>
                <a:srgbClr val="FF5D5D"/>
              </a:solidFill>
              <a:ln>
                <a:noFill/>
              </a:ln>
              <a:effectLst/>
            </c:spPr>
          </c:dPt>
          <c:dPt>
            <c:idx val="5"/>
            <c:invertIfNegative val="0"/>
            <c:bubble3D val="0"/>
            <c:spPr>
              <a:solidFill>
                <a:srgbClr val="F9272C"/>
              </a:solidFill>
              <a:ln>
                <a:noFill/>
              </a:ln>
              <a:effectLst/>
            </c:spPr>
          </c:dPt>
          <c:cat>
            <c:strRef>
              <c:f>'M&amp;F'!$D$4:$D$10</c:f>
              <c:strCache>
                <c:ptCount val="6"/>
                <c:pt idx="0">
                  <c:v>Africa</c:v>
                </c:pt>
                <c:pt idx="1">
                  <c:v>Asia</c:v>
                </c:pt>
                <c:pt idx="2">
                  <c:v>Europe</c:v>
                </c:pt>
                <c:pt idx="3">
                  <c:v>North America</c:v>
                </c:pt>
                <c:pt idx="4">
                  <c:v>Oceania</c:v>
                </c:pt>
                <c:pt idx="5">
                  <c:v>South America</c:v>
                </c:pt>
              </c:strCache>
            </c:strRef>
          </c:cat>
          <c:val>
            <c:numRef>
              <c:f>'M&amp;F'!$E$4:$E$10</c:f>
              <c:numCache>
                <c:formatCode>General</c:formatCode>
                <c:ptCount val="6"/>
                <c:pt idx="0">
                  <c:v>3178675868</c:v>
                </c:pt>
                <c:pt idx="1">
                  <c:v>2846835864</c:v>
                </c:pt>
                <c:pt idx="2">
                  <c:v>3368903857</c:v>
                </c:pt>
                <c:pt idx="3">
                  <c:v>492207453</c:v>
                </c:pt>
                <c:pt idx="4">
                  <c:v>339398944</c:v>
                </c:pt>
                <c:pt idx="5">
                  <c:v>894821713</c:v>
                </c:pt>
              </c:numCache>
            </c:numRef>
          </c:val>
        </c:ser>
        <c:dLbls>
          <c:showLegendKey val="0"/>
          <c:showVal val="0"/>
          <c:showCatName val="0"/>
          <c:showSerName val="0"/>
          <c:showPercent val="0"/>
          <c:showBubbleSize val="0"/>
        </c:dLbls>
        <c:gapWidth val="219"/>
        <c:overlap val="-27"/>
        <c:axId val="251229272"/>
        <c:axId val="38568488"/>
      </c:barChart>
      <c:catAx>
        <c:axId val="251229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68488"/>
        <c:crosses val="autoZero"/>
        <c:auto val="1"/>
        <c:lblAlgn val="ctr"/>
        <c:lblOffset val="100"/>
        <c:noMultiLvlLbl val="0"/>
      </c:catAx>
      <c:valAx>
        <c:axId val="38568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229272"/>
        <c:crosses val="autoZero"/>
        <c:crossBetween val="between"/>
      </c:valAx>
      <c:spPr>
        <a:noFill/>
        <a:ln>
          <a:noFill/>
        </a:ln>
        <a:effectLst/>
      </c:spPr>
    </c:plotArea>
    <c:plotVisOnly val="1"/>
    <c:dispBlanksAs val="gap"/>
    <c:showDLblsOverMax val="0"/>
  </c:chart>
  <c:spPr>
    <a:solidFill>
      <a:schemeClr val="accent2">
        <a:lumMod val="20000"/>
        <a:lumOff val="80000"/>
      </a:schemeClr>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[global_cvd_burden_2021_2026_73_countries_1300_rows.csv.xlsx]Age!PivotTable7</c:name>
    <c:fmtId val="1"/>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
        <c:spPr>
          <a:solidFill>
            <a:srgbClr val="FDC4B9"/>
          </a:solidFill>
          <a:ln w="25400">
            <a:solidFill>
              <a:schemeClr val="lt1"/>
            </a:solidFill>
          </a:ln>
          <a:effectLst/>
          <a:sp3d contourW="25400">
            <a:contourClr>
              <a:schemeClr val="lt1"/>
            </a:contourClr>
          </a:sp3d>
        </c:spPr>
      </c:pivotFmt>
      <c:pivotFmt>
        <c:idx val="2"/>
        <c:spPr>
          <a:solidFill>
            <a:srgbClr val="FF5D5D"/>
          </a:solidFill>
          <a:ln w="25400">
            <a:solidFill>
              <a:schemeClr val="lt1"/>
            </a:solidFill>
          </a:ln>
          <a:effectLst/>
          <a:sp3d contourW="25400">
            <a:contourClr>
              <a:schemeClr val="lt1"/>
            </a:contourClr>
          </a:sp3d>
        </c:spPr>
      </c:pivotFmt>
      <c:pivotFmt>
        <c:idx val="3"/>
        <c:spPr>
          <a:solidFill>
            <a:srgbClr val="F9272C"/>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Age!$B$3</c:f>
              <c:strCache>
                <c:ptCount val="1"/>
                <c:pt idx="0">
                  <c:v>Total</c:v>
                </c:pt>
              </c:strCache>
            </c:strRef>
          </c:tx>
          <c:dPt>
            <c:idx val="0"/>
            <c:bubble3D val="0"/>
            <c:spPr>
              <a:solidFill>
                <a:srgbClr val="FF5D5D"/>
              </a:solidFill>
              <a:ln w="25400">
                <a:solidFill>
                  <a:schemeClr val="lt1"/>
                </a:solidFill>
              </a:ln>
              <a:effectLst/>
              <a:sp3d contourW="25400">
                <a:contourClr>
                  <a:schemeClr val="lt1"/>
                </a:contourClr>
              </a:sp3d>
            </c:spPr>
          </c:dPt>
          <c:dPt>
            <c:idx val="1"/>
            <c:bubble3D val="0"/>
            <c:spPr>
              <a:solidFill>
                <a:srgbClr val="F9272C"/>
              </a:solidFill>
              <a:ln w="25400">
                <a:solidFill>
                  <a:schemeClr val="lt1"/>
                </a:solidFill>
              </a:ln>
              <a:effectLst/>
              <a:sp3d contourW="25400">
                <a:contourClr>
                  <a:schemeClr val="lt1"/>
                </a:contourClr>
              </a:sp3d>
            </c:spPr>
          </c:dPt>
          <c:dPt>
            <c:idx val="2"/>
            <c:bubble3D val="0"/>
            <c:spPr>
              <a:solidFill>
                <a:srgbClr val="FDC4B9"/>
              </a:solidFill>
              <a:ln w="25400">
                <a:solidFill>
                  <a:schemeClr val="lt1"/>
                </a:solidFill>
              </a:ln>
              <a:effectLst/>
              <a:sp3d contourW="25400">
                <a:contourClr>
                  <a:schemeClr val="lt1"/>
                </a:contourClr>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Age!$A$4:$A$7</c:f>
              <c:strCache>
                <c:ptCount val="3"/>
                <c:pt idx="0">
                  <c:v>18-39</c:v>
                </c:pt>
                <c:pt idx="1">
                  <c:v>40-59</c:v>
                </c:pt>
                <c:pt idx="2">
                  <c:v>60+</c:v>
                </c:pt>
              </c:strCache>
            </c:strRef>
          </c:cat>
          <c:val>
            <c:numRef>
              <c:f>Age!$B$4:$B$7</c:f>
              <c:numCache>
                <c:formatCode>General</c:formatCode>
                <c:ptCount val="3"/>
                <c:pt idx="0">
                  <c:v>7473277977</c:v>
                </c:pt>
                <c:pt idx="1">
                  <c:v>6594037185</c:v>
                </c:pt>
                <c:pt idx="2">
                  <c:v>8213834905</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20000"/>
        <a:lumOff val="80000"/>
      </a:schemeClr>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[global_cvd_burden_2021_2026_73_countries_1300_rows.csv.xlsx]Risk!PivotTable8</c:name>
    <c:fmtId val="0"/>
  </c:pivotSource>
  <c:chart>
    <c:autoTitleDeleted val="1"/>
    <c:pivotFmts>
      <c:pivotFmt>
        <c:idx val="0"/>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
        <c:spPr>
          <a:solidFill>
            <a:srgbClr val="FDC4B9"/>
          </a:solidFill>
          <a:ln w="19050">
            <a:solidFill>
              <a:schemeClr val="lt1"/>
            </a:solidFill>
          </a:ln>
          <a:effectLst/>
        </c:spPr>
      </c:pivotFmt>
      <c:pivotFmt>
        <c:idx val="2"/>
        <c:spPr>
          <a:solidFill>
            <a:srgbClr val="F28285"/>
          </a:solidFill>
          <a:ln w="19050">
            <a:solidFill>
              <a:schemeClr val="lt1"/>
            </a:solidFill>
          </a:ln>
          <a:effectLst/>
        </c:spPr>
      </c:pivotFmt>
      <c:pivotFmt>
        <c:idx val="3"/>
        <c:spPr>
          <a:solidFill>
            <a:srgbClr val="FF0000"/>
          </a:solidFill>
          <a:ln w="19050">
            <a:solidFill>
              <a:schemeClr val="lt1"/>
            </a:solidFill>
          </a:ln>
          <a:effectLst/>
        </c:spPr>
      </c:pivotFmt>
    </c:pivotFmts>
    <c:plotArea>
      <c:layout/>
      <c:doughnutChart>
        <c:varyColors val="1"/>
        <c:ser>
          <c:idx val="0"/>
          <c:order val="0"/>
          <c:tx>
            <c:strRef>
              <c:f>Risk!$B$3</c:f>
              <c:strCache>
                <c:ptCount val="1"/>
                <c:pt idx="0">
                  <c:v>Total</c:v>
                </c:pt>
              </c:strCache>
            </c:strRef>
          </c:tx>
          <c:dPt>
            <c:idx val="0"/>
            <c:bubble3D val="0"/>
            <c:spPr>
              <a:solidFill>
                <a:srgbClr val="F28285"/>
              </a:solidFill>
              <a:ln w="19050">
                <a:solidFill>
                  <a:schemeClr val="lt1"/>
                </a:solidFill>
              </a:ln>
              <a:effectLst/>
            </c:spPr>
          </c:dPt>
          <c:dPt>
            <c:idx val="1"/>
            <c:bubble3D val="0"/>
            <c:spPr>
              <a:solidFill>
                <a:srgbClr val="FF0000"/>
              </a:solidFill>
              <a:ln w="19050">
                <a:solidFill>
                  <a:schemeClr val="lt1"/>
                </a:solidFill>
              </a:ln>
              <a:effectLst/>
            </c:spPr>
          </c:dPt>
          <c:dPt>
            <c:idx val="2"/>
            <c:bubble3D val="0"/>
            <c:spPr>
              <a:solidFill>
                <a:srgbClr val="FDC4B9"/>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Risk!$A$4:$A$7</c:f>
              <c:strCache>
                <c:ptCount val="3"/>
                <c:pt idx="0">
                  <c:v>18-39</c:v>
                </c:pt>
                <c:pt idx="1">
                  <c:v>40-59</c:v>
                </c:pt>
                <c:pt idx="2">
                  <c:v>60+</c:v>
                </c:pt>
              </c:strCache>
            </c:strRef>
          </c:cat>
          <c:val>
            <c:numRef>
              <c:f>Risk!$B$4:$B$7</c:f>
              <c:numCache>
                <c:formatCode>General</c:formatCode>
                <c:ptCount val="3"/>
                <c:pt idx="0">
                  <c:v>43</c:v>
                </c:pt>
                <c:pt idx="1">
                  <c:v>40</c:v>
                </c:pt>
                <c:pt idx="2">
                  <c:v>58</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20000"/>
        <a:lumOff val="80000"/>
      </a:schemeClr>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[global_cvd_burden_2021_2026_73_countries_1300_rows.csv.xlsx]Smoking!PivotTable9</c:name>
    <c:fmtId val="0"/>
  </c:pivotSource>
  <c:chart>
    <c:autoTitleDeleted val="1"/>
    <c:pivotFmts>
      <c:pivotFmt>
        <c:idx val="0"/>
        <c:spPr>
          <a:ln w="28575" cap="rnd">
            <a:solidFill>
              <a:srgbClr val="FF3300"/>
            </a:solidFill>
            <a:round/>
          </a:ln>
          <a:effectLst/>
        </c:spPr>
        <c:marker>
          <c:symbol val="none"/>
        </c:marker>
      </c:pivotFmt>
    </c:pivotFmts>
    <c:plotArea>
      <c:layout/>
      <c:lineChart>
        <c:grouping val="standard"/>
        <c:varyColors val="0"/>
        <c:ser>
          <c:idx val="0"/>
          <c:order val="0"/>
          <c:tx>
            <c:strRef>
              <c:f>Smoking!$B$3</c:f>
              <c:strCache>
                <c:ptCount val="1"/>
                <c:pt idx="0">
                  <c:v>Total</c:v>
                </c:pt>
              </c:strCache>
            </c:strRef>
          </c:tx>
          <c:spPr>
            <a:ln w="28575" cap="rnd">
              <a:solidFill>
                <a:srgbClr val="FF3300"/>
              </a:solidFill>
              <a:round/>
            </a:ln>
            <a:effectLst/>
          </c:spPr>
          <c:marker>
            <c:symbol val="none"/>
          </c:marker>
          <c:cat>
            <c:strRef>
              <c:f>Smoking!$A$4:$A$75</c:f>
              <c:strCache>
                <c:ptCount val="71"/>
                <c:pt idx="0">
                  <c:v>Algeria</c:v>
                </c:pt>
                <c:pt idx="1">
                  <c:v>Angola</c:v>
                </c:pt>
                <c:pt idx="2">
                  <c:v>Argentina</c:v>
                </c:pt>
                <c:pt idx="3">
                  <c:v>Australia</c:v>
                </c:pt>
                <c:pt idx="4">
                  <c:v>Austria</c:v>
                </c:pt>
                <c:pt idx="5">
                  <c:v>Bangladesh</c:v>
                </c:pt>
                <c:pt idx="6">
                  <c:v>Belgium</c:v>
                </c:pt>
                <c:pt idx="7">
                  <c:v>Botswana</c:v>
                </c:pt>
                <c:pt idx="8">
                  <c:v>Brazil</c:v>
                </c:pt>
                <c:pt idx="9">
                  <c:v>Bulgaria</c:v>
                </c:pt>
                <c:pt idx="10">
                  <c:v>Cameroon</c:v>
                </c:pt>
                <c:pt idx="11">
                  <c:v>Canada</c:v>
                </c:pt>
                <c:pt idx="12">
                  <c:v>Chile</c:v>
                </c:pt>
                <c:pt idx="13">
                  <c:v>China</c:v>
                </c:pt>
                <c:pt idx="14">
                  <c:v>Colombia</c:v>
                </c:pt>
                <c:pt idx="15">
                  <c:v>Czech Republic</c:v>
                </c:pt>
                <c:pt idx="16">
                  <c:v>Denmark</c:v>
                </c:pt>
                <c:pt idx="17">
                  <c:v>Egypt</c:v>
                </c:pt>
                <c:pt idx="18">
                  <c:v>Ethiopia</c:v>
                </c:pt>
                <c:pt idx="19">
                  <c:v>Finland</c:v>
                </c:pt>
                <c:pt idx="20">
                  <c:v>France</c:v>
                </c:pt>
                <c:pt idx="21">
                  <c:v>Germany</c:v>
                </c:pt>
                <c:pt idx="22">
                  <c:v>Ghana</c:v>
                </c:pt>
                <c:pt idx="23">
                  <c:v>Greece</c:v>
                </c:pt>
                <c:pt idx="24">
                  <c:v>Hungary</c:v>
                </c:pt>
                <c:pt idx="25">
                  <c:v>India</c:v>
                </c:pt>
                <c:pt idx="26">
                  <c:v>Indonesia</c:v>
                </c:pt>
                <c:pt idx="27">
                  <c:v>Israel</c:v>
                </c:pt>
                <c:pt idx="28">
                  <c:v>Italy</c:v>
                </c:pt>
                <c:pt idx="29">
                  <c:v>Ivory Coast</c:v>
                </c:pt>
                <c:pt idx="30">
                  <c:v>Japan</c:v>
                </c:pt>
                <c:pt idx="31">
                  <c:v>Kenya</c:v>
                </c:pt>
                <c:pt idx="32">
                  <c:v>Malaysia</c:v>
                </c:pt>
                <c:pt idx="33">
                  <c:v>Mexico</c:v>
                </c:pt>
                <c:pt idx="34">
                  <c:v>Morocco</c:v>
                </c:pt>
                <c:pt idx="35">
                  <c:v>Namibia</c:v>
                </c:pt>
                <c:pt idx="36">
                  <c:v>Netherlands</c:v>
                </c:pt>
                <c:pt idx="37">
                  <c:v>New Zealand</c:v>
                </c:pt>
                <c:pt idx="38">
                  <c:v>Nigeria</c:v>
                </c:pt>
                <c:pt idx="39">
                  <c:v>Norway</c:v>
                </c:pt>
                <c:pt idx="40">
                  <c:v>Pakistan</c:v>
                </c:pt>
                <c:pt idx="41">
                  <c:v>Peru</c:v>
                </c:pt>
                <c:pt idx="42">
                  <c:v>Philippines</c:v>
                </c:pt>
                <c:pt idx="43">
                  <c:v>Poland</c:v>
                </c:pt>
                <c:pt idx="44">
                  <c:v>Portugal</c:v>
                </c:pt>
                <c:pt idx="45">
                  <c:v>Qatar</c:v>
                </c:pt>
                <c:pt idx="46">
                  <c:v>Romania</c:v>
                </c:pt>
                <c:pt idx="47">
                  <c:v>Russia</c:v>
                </c:pt>
                <c:pt idx="48">
                  <c:v>Rwanda</c:v>
                </c:pt>
                <c:pt idx="49">
                  <c:v>Saudi Arabia</c:v>
                </c:pt>
                <c:pt idx="50">
                  <c:v>Senegal</c:v>
                </c:pt>
                <c:pt idx="51">
                  <c:v>Singapore</c:v>
                </c:pt>
                <c:pt idx="52">
                  <c:v>South Africa</c:v>
                </c:pt>
                <c:pt idx="53">
                  <c:v>South Korea</c:v>
                </c:pt>
                <c:pt idx="54">
                  <c:v>Spain</c:v>
                </c:pt>
                <c:pt idx="55">
                  <c:v>Sri Lanka</c:v>
                </c:pt>
                <c:pt idx="56">
                  <c:v>Sudan</c:v>
                </c:pt>
                <c:pt idx="57">
                  <c:v>Sweden</c:v>
                </c:pt>
                <c:pt idx="58">
                  <c:v>Switzerland</c:v>
                </c:pt>
                <c:pt idx="59">
                  <c:v>Tanzania</c:v>
                </c:pt>
                <c:pt idx="60">
                  <c:v>Thailand</c:v>
                </c:pt>
                <c:pt idx="61">
                  <c:v>Tunisia</c:v>
                </c:pt>
                <c:pt idx="62">
                  <c:v>Turkey</c:v>
                </c:pt>
                <c:pt idx="63">
                  <c:v>UAE</c:v>
                </c:pt>
                <c:pt idx="64">
                  <c:v>Uganda</c:v>
                </c:pt>
                <c:pt idx="65">
                  <c:v>UK</c:v>
                </c:pt>
                <c:pt idx="66">
                  <c:v>Ukraine</c:v>
                </c:pt>
                <c:pt idx="67">
                  <c:v>USA</c:v>
                </c:pt>
                <c:pt idx="68">
                  <c:v>Vietnam</c:v>
                </c:pt>
                <c:pt idx="69">
                  <c:v>Zambia</c:v>
                </c:pt>
                <c:pt idx="70">
                  <c:v>Zimbabwe</c:v>
                </c:pt>
              </c:strCache>
            </c:strRef>
          </c:cat>
          <c:val>
            <c:numRef>
              <c:f>Smoking!$B$4:$B$75</c:f>
              <c:numCache>
                <c:formatCode>General</c:formatCode>
                <c:ptCount val="71"/>
                <c:pt idx="0">
                  <c:v>54.870000000000005</c:v>
                </c:pt>
                <c:pt idx="1">
                  <c:v>55.75</c:v>
                </c:pt>
                <c:pt idx="2">
                  <c:v>62.519999999999996</c:v>
                </c:pt>
                <c:pt idx="3">
                  <c:v>54.77</c:v>
                </c:pt>
                <c:pt idx="4">
                  <c:v>71.680000000000007</c:v>
                </c:pt>
                <c:pt idx="5">
                  <c:v>48.85</c:v>
                </c:pt>
                <c:pt idx="6">
                  <c:v>77.23</c:v>
                </c:pt>
                <c:pt idx="7">
                  <c:v>57.910000000000004</c:v>
                </c:pt>
                <c:pt idx="8">
                  <c:v>52.45</c:v>
                </c:pt>
                <c:pt idx="9">
                  <c:v>40.209999999999994</c:v>
                </c:pt>
                <c:pt idx="10">
                  <c:v>55.599999999999994</c:v>
                </c:pt>
                <c:pt idx="11">
                  <c:v>53.47</c:v>
                </c:pt>
                <c:pt idx="12">
                  <c:v>52.93</c:v>
                </c:pt>
                <c:pt idx="13">
                  <c:v>47.76</c:v>
                </c:pt>
                <c:pt idx="14">
                  <c:v>62.379999999999995</c:v>
                </c:pt>
                <c:pt idx="15">
                  <c:v>55.35</c:v>
                </c:pt>
                <c:pt idx="16">
                  <c:v>36.629999999999995</c:v>
                </c:pt>
                <c:pt idx="17">
                  <c:v>68.14</c:v>
                </c:pt>
                <c:pt idx="18">
                  <c:v>49.53</c:v>
                </c:pt>
                <c:pt idx="19">
                  <c:v>70.900000000000006</c:v>
                </c:pt>
                <c:pt idx="20">
                  <c:v>72.12</c:v>
                </c:pt>
                <c:pt idx="21">
                  <c:v>55.3</c:v>
                </c:pt>
                <c:pt idx="22">
                  <c:v>53.04</c:v>
                </c:pt>
                <c:pt idx="23">
                  <c:v>65.72</c:v>
                </c:pt>
                <c:pt idx="24">
                  <c:v>46.64</c:v>
                </c:pt>
                <c:pt idx="25">
                  <c:v>69.84</c:v>
                </c:pt>
                <c:pt idx="26">
                  <c:v>39.239999999999995</c:v>
                </c:pt>
                <c:pt idx="27">
                  <c:v>73.570000000000007</c:v>
                </c:pt>
                <c:pt idx="28">
                  <c:v>65.080000000000013</c:v>
                </c:pt>
                <c:pt idx="29">
                  <c:v>72.44</c:v>
                </c:pt>
                <c:pt idx="30">
                  <c:v>78.34</c:v>
                </c:pt>
                <c:pt idx="31">
                  <c:v>68.22</c:v>
                </c:pt>
                <c:pt idx="32">
                  <c:v>62.959999999999994</c:v>
                </c:pt>
                <c:pt idx="33">
                  <c:v>47.73</c:v>
                </c:pt>
                <c:pt idx="34">
                  <c:v>50.79</c:v>
                </c:pt>
                <c:pt idx="35">
                  <c:v>49.42</c:v>
                </c:pt>
                <c:pt idx="36">
                  <c:v>79.77000000000001</c:v>
                </c:pt>
                <c:pt idx="37">
                  <c:v>55.959999999999994</c:v>
                </c:pt>
                <c:pt idx="38">
                  <c:v>52.79</c:v>
                </c:pt>
                <c:pt idx="39">
                  <c:v>51.75</c:v>
                </c:pt>
                <c:pt idx="40">
                  <c:v>56.769999999999996</c:v>
                </c:pt>
                <c:pt idx="41">
                  <c:v>82.76</c:v>
                </c:pt>
                <c:pt idx="42">
                  <c:v>49.39</c:v>
                </c:pt>
                <c:pt idx="43">
                  <c:v>61.36</c:v>
                </c:pt>
                <c:pt idx="44">
                  <c:v>52.989999999999995</c:v>
                </c:pt>
                <c:pt idx="45">
                  <c:v>50.120000000000005</c:v>
                </c:pt>
                <c:pt idx="46">
                  <c:v>68.72999999999999</c:v>
                </c:pt>
                <c:pt idx="47">
                  <c:v>55.14</c:v>
                </c:pt>
                <c:pt idx="48">
                  <c:v>51.17</c:v>
                </c:pt>
                <c:pt idx="49">
                  <c:v>62.800000000000004</c:v>
                </c:pt>
                <c:pt idx="50">
                  <c:v>53.89</c:v>
                </c:pt>
                <c:pt idx="51">
                  <c:v>48.68</c:v>
                </c:pt>
                <c:pt idx="52">
                  <c:v>70.19</c:v>
                </c:pt>
                <c:pt idx="53">
                  <c:v>71.39</c:v>
                </c:pt>
                <c:pt idx="54">
                  <c:v>73.990000000000009</c:v>
                </c:pt>
                <c:pt idx="55">
                  <c:v>57.089999999999996</c:v>
                </c:pt>
                <c:pt idx="56">
                  <c:v>47.63</c:v>
                </c:pt>
                <c:pt idx="57">
                  <c:v>58.3</c:v>
                </c:pt>
                <c:pt idx="58">
                  <c:v>49.72</c:v>
                </c:pt>
                <c:pt idx="59">
                  <c:v>68.17</c:v>
                </c:pt>
                <c:pt idx="60">
                  <c:v>55.83</c:v>
                </c:pt>
                <c:pt idx="61">
                  <c:v>63.949999999999996</c:v>
                </c:pt>
                <c:pt idx="62">
                  <c:v>51.07</c:v>
                </c:pt>
                <c:pt idx="63">
                  <c:v>55.17</c:v>
                </c:pt>
                <c:pt idx="64">
                  <c:v>51.099999999999994</c:v>
                </c:pt>
                <c:pt idx="65">
                  <c:v>60.61</c:v>
                </c:pt>
                <c:pt idx="66">
                  <c:v>77.099999999999994</c:v>
                </c:pt>
                <c:pt idx="67">
                  <c:v>63.95</c:v>
                </c:pt>
                <c:pt idx="68">
                  <c:v>50.63</c:v>
                </c:pt>
                <c:pt idx="69">
                  <c:v>53.78</c:v>
                </c:pt>
                <c:pt idx="70">
                  <c:v>51.980000000000004</c:v>
                </c:pt>
              </c:numCache>
            </c:numRef>
          </c:val>
          <c:smooth val="0"/>
        </c:ser>
        <c:dLbls>
          <c:showLegendKey val="0"/>
          <c:showVal val="0"/>
          <c:showCatName val="0"/>
          <c:showSerName val="0"/>
          <c:showPercent val="0"/>
          <c:showBubbleSize val="0"/>
        </c:dLbls>
        <c:smooth val="0"/>
        <c:axId val="271900120"/>
        <c:axId val="250902104"/>
      </c:lineChart>
      <c:catAx>
        <c:axId val="271900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0902104"/>
        <c:crosses val="autoZero"/>
        <c:auto val="1"/>
        <c:lblAlgn val="ctr"/>
        <c:lblOffset val="100"/>
        <c:noMultiLvlLbl val="0"/>
      </c:catAx>
      <c:valAx>
        <c:axId val="2509021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1900120"/>
        <c:crosses val="autoZero"/>
        <c:crossBetween val="between"/>
      </c:valAx>
      <c:spPr>
        <a:noFill/>
        <a:ln>
          <a:noFill/>
        </a:ln>
        <a:effectLst/>
      </c:spPr>
    </c:plotArea>
    <c:plotVisOnly val="1"/>
    <c:dispBlanksAs val="gap"/>
    <c:showDLblsOverMax val="0"/>
  </c:chart>
  <c:spPr>
    <a:solidFill>
      <a:schemeClr val="accent2">
        <a:lumMod val="20000"/>
        <a:lumOff val="80000"/>
      </a:schemeClr>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[global_cvd_burden_2021_2026_73_countries_1300_rows.csv.xlsx]Diabetes!PivotTable10</c:name>
    <c:fmtId val="0"/>
  </c:pivotSource>
  <c:chart>
    <c:autoTitleDeleted val="1"/>
    <c:pivotFmts>
      <c:pivotFmt>
        <c:idx val="0"/>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rgbClr val="FDC4B9"/>
          </a:solidFill>
          <a:ln>
            <a:noFill/>
          </a:ln>
          <a:effectLst/>
        </c:spPr>
      </c:pivotFmt>
      <c:pivotFmt>
        <c:idx val="2"/>
        <c:spPr>
          <a:solidFill>
            <a:srgbClr val="FF3300"/>
          </a:solidFill>
          <a:ln>
            <a:noFill/>
          </a:ln>
          <a:effectLst/>
        </c:spPr>
      </c:pivotFmt>
      <c:pivotFmt>
        <c:idx val="3"/>
        <c:spPr>
          <a:solidFill>
            <a:srgbClr val="F9272C"/>
          </a:solidFill>
          <a:ln>
            <a:noFill/>
          </a:ln>
          <a:effectLst/>
        </c:spPr>
      </c:pivotFmt>
    </c:pivotFmts>
    <c:plotArea>
      <c:layout/>
      <c:barChart>
        <c:barDir val="col"/>
        <c:grouping val="clustered"/>
        <c:varyColors val="0"/>
        <c:ser>
          <c:idx val="0"/>
          <c:order val="0"/>
          <c:tx>
            <c:strRef>
              <c:f>Diabetes!$B$3</c:f>
              <c:strCache>
                <c:ptCount val="1"/>
                <c:pt idx="0">
                  <c:v>Total</c:v>
                </c:pt>
              </c:strCache>
            </c:strRef>
          </c:tx>
          <c:spPr>
            <a:solidFill>
              <a:schemeClr val="accent1"/>
            </a:solidFill>
            <a:ln>
              <a:noFill/>
            </a:ln>
            <a:effectLst/>
          </c:spPr>
          <c:invertIfNegative val="0"/>
          <c:dPt>
            <c:idx val="0"/>
            <c:invertIfNegative val="0"/>
            <c:bubble3D val="0"/>
            <c:spPr>
              <a:solidFill>
                <a:srgbClr val="FDC4B9"/>
              </a:solidFill>
              <a:ln>
                <a:noFill/>
              </a:ln>
              <a:effectLst/>
            </c:spPr>
          </c:dPt>
          <c:dPt>
            <c:idx val="1"/>
            <c:invertIfNegative val="0"/>
            <c:bubble3D val="0"/>
            <c:spPr>
              <a:solidFill>
                <a:srgbClr val="FF3300"/>
              </a:solidFill>
              <a:ln>
                <a:noFill/>
              </a:ln>
              <a:effectLst/>
            </c:spPr>
          </c:dPt>
          <c:dPt>
            <c:idx val="2"/>
            <c:invertIfNegative val="0"/>
            <c:bubble3D val="0"/>
            <c:spPr>
              <a:solidFill>
                <a:srgbClr val="F9272C"/>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Diabetes!$A$4:$A$7</c:f>
              <c:strCache>
                <c:ptCount val="3"/>
                <c:pt idx="0">
                  <c:v>18-39</c:v>
                </c:pt>
                <c:pt idx="1">
                  <c:v>40-59</c:v>
                </c:pt>
                <c:pt idx="2">
                  <c:v>60+</c:v>
                </c:pt>
              </c:strCache>
            </c:strRef>
          </c:cat>
          <c:val>
            <c:numRef>
              <c:f>Diabetes!$B$4:$B$7</c:f>
              <c:numCache>
                <c:formatCode>General</c:formatCode>
                <c:ptCount val="3"/>
                <c:pt idx="0">
                  <c:v>729.62000000000023</c:v>
                </c:pt>
                <c:pt idx="1">
                  <c:v>704.74000000000012</c:v>
                </c:pt>
                <c:pt idx="2">
                  <c:v>697.09999999999991</c:v>
                </c:pt>
              </c:numCache>
            </c:numRef>
          </c:val>
        </c:ser>
        <c:dLbls>
          <c:dLblPos val="outEnd"/>
          <c:showLegendKey val="0"/>
          <c:showVal val="1"/>
          <c:showCatName val="0"/>
          <c:showSerName val="0"/>
          <c:showPercent val="0"/>
          <c:showBubbleSize val="0"/>
        </c:dLbls>
        <c:gapWidth val="219"/>
        <c:overlap val="-27"/>
        <c:axId val="251191000"/>
        <c:axId val="251186688"/>
      </c:barChart>
      <c:catAx>
        <c:axId val="251191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186688"/>
        <c:crosses val="autoZero"/>
        <c:auto val="1"/>
        <c:lblAlgn val="ctr"/>
        <c:lblOffset val="100"/>
        <c:noMultiLvlLbl val="0"/>
      </c:catAx>
      <c:valAx>
        <c:axId val="2511866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191000"/>
        <c:crosses val="autoZero"/>
        <c:crossBetween val="between"/>
      </c:valAx>
      <c:spPr>
        <a:noFill/>
        <a:ln>
          <a:noFill/>
        </a:ln>
        <a:effectLst/>
      </c:spPr>
    </c:plotArea>
    <c:plotVisOnly val="1"/>
    <c:dispBlanksAs val="gap"/>
    <c:showDLblsOverMax val="0"/>
  </c:chart>
  <c:spPr>
    <a:solidFill>
      <a:schemeClr val="accent2">
        <a:lumMod val="20000"/>
        <a:lumOff val="80000"/>
      </a:schemeClr>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[global_cvd_burden_2021_2026_73_countries_1300_rows.csv.xlsx]Life!PivotTable11</c:name>
    <c:fmtId val="0"/>
  </c:pivotSource>
  <c:chart>
    <c:autoTitleDeleted val="1"/>
    <c:pivotFmts>
      <c:pivotFmt>
        <c:idx val="0"/>
        <c:spPr>
          <a:solidFill>
            <a:schemeClr val="accent1"/>
          </a:solidFill>
          <a:ln>
            <a:noFill/>
          </a:ln>
          <a:effectLst/>
          <a:sp3d/>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1"/>
        <c:spPr>
          <a:solidFill>
            <a:srgbClr val="FF3300"/>
          </a:solidFill>
          <a:ln>
            <a:noFill/>
          </a:ln>
          <a:effectLst/>
          <a:sp3d/>
        </c:spPr>
      </c:pivotFmt>
      <c:pivotFmt>
        <c:idx val="2"/>
        <c:spPr>
          <a:solidFill>
            <a:srgbClr val="FF3300"/>
          </a:solidFill>
          <a:ln>
            <a:noFill/>
          </a:ln>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Life!$B$3</c:f>
              <c:strCache>
                <c:ptCount val="1"/>
                <c:pt idx="0">
                  <c:v>Total</c:v>
                </c:pt>
              </c:strCache>
            </c:strRef>
          </c:tx>
          <c:spPr>
            <a:solidFill>
              <a:schemeClr val="accent1"/>
            </a:solidFill>
            <a:ln>
              <a:noFill/>
            </a:ln>
            <a:effectLst/>
            <a:sp3d/>
          </c:spPr>
          <c:dPt>
            <c:idx val="1"/>
            <c:bubble3D val="0"/>
            <c:spPr>
              <a:solidFill>
                <a:srgbClr val="FF3300"/>
              </a:solidFill>
              <a:ln>
                <a:noFill/>
              </a:ln>
              <a:effectLst/>
              <a:sp3d/>
            </c:spPr>
          </c:dPt>
          <c:dPt>
            <c:idx val="2"/>
            <c:bubble3D val="0"/>
            <c:spPr>
              <a:solidFill>
                <a:srgbClr val="FF3300"/>
              </a:solidFill>
              <a:ln>
                <a:noFill/>
              </a:ln>
              <a:effectLst/>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layout/>
                <c15:showLeaderLines val="1"/>
                <c15:leaderLines>
                  <c:spPr>
                    <a:ln w="9525" cap="flat" cmpd="sng" algn="ctr">
                      <a:solidFill>
                        <a:schemeClr val="tx1">
                          <a:lumMod val="35000"/>
                          <a:lumOff val="65000"/>
                        </a:schemeClr>
                      </a:solidFill>
                      <a:round/>
                    </a:ln>
                    <a:effectLst/>
                  </c:spPr>
                </c15:leaderLines>
              </c:ext>
            </c:extLst>
          </c:dLbls>
          <c:cat>
            <c:strRef>
              <c:f>Life!$A$4:$A$7</c:f>
              <c:strCache>
                <c:ptCount val="3"/>
                <c:pt idx="0">
                  <c:v>18-39</c:v>
                </c:pt>
                <c:pt idx="1">
                  <c:v>40-59</c:v>
                </c:pt>
                <c:pt idx="2">
                  <c:v>60+</c:v>
                </c:pt>
              </c:strCache>
            </c:strRef>
          </c:cat>
          <c:val>
            <c:numRef>
              <c:f>Life!$B$4:$B$7</c:f>
              <c:numCache>
                <c:formatCode>General</c:formatCode>
                <c:ptCount val="3"/>
                <c:pt idx="0">
                  <c:v>77.3</c:v>
                </c:pt>
                <c:pt idx="1">
                  <c:v>66.400000000000006</c:v>
                </c:pt>
                <c:pt idx="2">
                  <c:v>74.3</c:v>
                </c:pt>
              </c:numCache>
            </c:numRef>
          </c:val>
          <c:smooth val="0"/>
        </c:ser>
        <c:dLbls>
          <c:showLegendKey val="0"/>
          <c:showVal val="0"/>
          <c:showCatName val="0"/>
          <c:showSerName val="0"/>
          <c:showPercent val="0"/>
          <c:showBubbleSize val="0"/>
        </c:dLbls>
        <c:axId val="251189040"/>
        <c:axId val="251183944"/>
        <c:axId val="271597632"/>
      </c:line3DChart>
      <c:catAx>
        <c:axId val="2511890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183944"/>
        <c:crosses val="autoZero"/>
        <c:auto val="1"/>
        <c:lblAlgn val="ctr"/>
        <c:lblOffset val="100"/>
        <c:noMultiLvlLbl val="0"/>
      </c:catAx>
      <c:valAx>
        <c:axId val="251183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189040"/>
        <c:crosses val="autoZero"/>
        <c:crossBetween val="between"/>
      </c:valAx>
      <c:serAx>
        <c:axId val="271597632"/>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183944"/>
        <c:crosses val="autoZero"/>
      </c:serAx>
      <c:spPr>
        <a:noFill/>
        <a:ln>
          <a:noFill/>
        </a:ln>
        <a:effectLst/>
      </c:spPr>
    </c:plotArea>
    <c:plotVisOnly val="1"/>
    <c:dispBlanksAs val="gap"/>
    <c:showDLblsOverMax val="0"/>
  </c:chart>
  <c:spPr>
    <a:solidFill>
      <a:schemeClr val="accent2">
        <a:lumMod val="20000"/>
        <a:lumOff val="80000"/>
      </a:schemeClr>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[global_cvd_burden_2021_2026_73_countries_1300_rows.csv.xlsx]Health!PivotTable12</c:name>
    <c:fmtId val="0"/>
  </c:pivotSource>
  <c:chart>
    <c:autoTitleDeleted val="1"/>
    <c:pivotFmts>
      <c:pivotFmt>
        <c:idx val="0"/>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
        <c:spPr>
          <a:solidFill>
            <a:srgbClr val="FDC4B9"/>
          </a:solidFill>
          <a:ln>
            <a:noFill/>
          </a:ln>
          <a:effectLst/>
          <a:sp3d/>
        </c:spPr>
      </c:pivotFmt>
      <c:pivotFmt>
        <c:idx val="2"/>
        <c:spPr>
          <a:solidFill>
            <a:srgbClr val="F47C68"/>
          </a:solidFill>
          <a:ln>
            <a:noFill/>
          </a:ln>
          <a:effectLst/>
          <a:sp3d/>
        </c:spPr>
      </c:pivotFmt>
      <c:pivotFmt>
        <c:idx val="3"/>
        <c:spPr>
          <a:solidFill>
            <a:srgbClr val="F28285"/>
          </a:solidFill>
          <a:ln>
            <a:noFill/>
          </a:ln>
          <a:effectLst/>
          <a:sp3d/>
        </c:spPr>
      </c:pivotFmt>
      <c:pivotFmt>
        <c:idx val="4"/>
        <c:spPr>
          <a:solidFill>
            <a:srgbClr val="F9272C"/>
          </a:solidFill>
          <a:ln>
            <a:noFill/>
          </a:ln>
          <a:effectLst/>
          <a:sp3d/>
        </c:spPr>
      </c:pivotFmt>
      <c:pivotFmt>
        <c:idx val="5"/>
        <c:spPr>
          <a:solidFill>
            <a:srgbClr val="F9272C"/>
          </a:solidFill>
          <a:ln>
            <a:noFill/>
          </a:ln>
          <a:effectLst/>
          <a:sp3d/>
        </c:spPr>
      </c:pivotFmt>
      <c:pivotFmt>
        <c:idx val="6"/>
        <c:spPr>
          <a:solidFill>
            <a:srgbClr val="FF00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Health!$B$3</c:f>
              <c:strCache>
                <c:ptCount val="1"/>
                <c:pt idx="0">
                  <c:v>Total</c:v>
                </c:pt>
              </c:strCache>
            </c:strRef>
          </c:tx>
          <c:spPr>
            <a:solidFill>
              <a:schemeClr val="accent1"/>
            </a:solidFill>
            <a:ln>
              <a:noFill/>
            </a:ln>
            <a:effectLst/>
            <a:sp3d/>
          </c:spPr>
          <c:invertIfNegative val="0"/>
          <c:dPt>
            <c:idx val="0"/>
            <c:invertIfNegative val="0"/>
            <c:bubble3D val="0"/>
            <c:spPr>
              <a:solidFill>
                <a:srgbClr val="FDC4B9"/>
              </a:solidFill>
              <a:ln>
                <a:noFill/>
              </a:ln>
              <a:effectLst/>
              <a:sp3d/>
            </c:spPr>
          </c:dPt>
          <c:dPt>
            <c:idx val="1"/>
            <c:invertIfNegative val="0"/>
            <c:bubble3D val="0"/>
            <c:spPr>
              <a:solidFill>
                <a:srgbClr val="F47C68"/>
              </a:solidFill>
              <a:ln>
                <a:noFill/>
              </a:ln>
              <a:effectLst/>
              <a:sp3d/>
            </c:spPr>
          </c:dPt>
          <c:dPt>
            <c:idx val="2"/>
            <c:invertIfNegative val="0"/>
            <c:bubble3D val="0"/>
            <c:spPr>
              <a:solidFill>
                <a:srgbClr val="F28285"/>
              </a:solidFill>
              <a:ln>
                <a:noFill/>
              </a:ln>
              <a:effectLst/>
              <a:sp3d/>
            </c:spPr>
          </c:dPt>
          <c:dPt>
            <c:idx val="3"/>
            <c:invertIfNegative val="0"/>
            <c:bubble3D val="0"/>
            <c:spPr>
              <a:solidFill>
                <a:srgbClr val="F9272C"/>
              </a:solidFill>
              <a:ln>
                <a:noFill/>
              </a:ln>
              <a:effectLst/>
              <a:sp3d/>
            </c:spPr>
          </c:dPt>
          <c:dPt>
            <c:idx val="4"/>
            <c:invertIfNegative val="0"/>
            <c:bubble3D val="0"/>
            <c:spPr>
              <a:solidFill>
                <a:srgbClr val="F9272C"/>
              </a:solidFill>
              <a:ln>
                <a:noFill/>
              </a:ln>
              <a:effectLst/>
              <a:sp3d/>
            </c:spPr>
          </c:dPt>
          <c:dPt>
            <c:idx val="5"/>
            <c:invertIfNegative val="0"/>
            <c:bubble3D val="0"/>
            <c:spPr>
              <a:solidFill>
                <a:srgbClr val="FF0000"/>
              </a:solidFill>
              <a:ln>
                <a:noFill/>
              </a:ln>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Health!$A$4:$A$10</c:f>
              <c:strCache>
                <c:ptCount val="6"/>
                <c:pt idx="0">
                  <c:v>Africa</c:v>
                </c:pt>
                <c:pt idx="1">
                  <c:v>Asia</c:v>
                </c:pt>
                <c:pt idx="2">
                  <c:v>Europe</c:v>
                </c:pt>
                <c:pt idx="3">
                  <c:v>North America</c:v>
                </c:pt>
                <c:pt idx="4">
                  <c:v>Oceania</c:v>
                </c:pt>
                <c:pt idx="5">
                  <c:v>South America</c:v>
                </c:pt>
              </c:strCache>
            </c:strRef>
          </c:cat>
          <c:val>
            <c:numRef>
              <c:f>Health!$B$4:$B$10</c:f>
              <c:numCache>
                <c:formatCode>General</c:formatCode>
                <c:ptCount val="6"/>
                <c:pt idx="0">
                  <c:v>1524.15</c:v>
                </c:pt>
                <c:pt idx="1">
                  <c:v>9851.07</c:v>
                </c:pt>
                <c:pt idx="2">
                  <c:v>7118.5</c:v>
                </c:pt>
                <c:pt idx="3">
                  <c:v>816.93</c:v>
                </c:pt>
                <c:pt idx="4">
                  <c:v>3199.32</c:v>
                </c:pt>
                <c:pt idx="5">
                  <c:v>3101.85</c:v>
                </c:pt>
              </c:numCache>
            </c:numRef>
          </c:val>
        </c:ser>
        <c:dLbls>
          <c:showLegendKey val="0"/>
          <c:showVal val="1"/>
          <c:showCatName val="0"/>
          <c:showSerName val="0"/>
          <c:showPercent val="0"/>
          <c:showBubbleSize val="0"/>
        </c:dLbls>
        <c:gapWidth val="150"/>
        <c:shape val="box"/>
        <c:axId val="251189432"/>
        <c:axId val="251187472"/>
        <c:axId val="0"/>
      </c:bar3DChart>
      <c:catAx>
        <c:axId val="25118943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187472"/>
        <c:crosses val="autoZero"/>
        <c:auto val="1"/>
        <c:lblAlgn val="ctr"/>
        <c:lblOffset val="100"/>
        <c:noMultiLvlLbl val="0"/>
      </c:catAx>
      <c:valAx>
        <c:axId val="25118747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189432"/>
        <c:crosses val="autoZero"/>
        <c:crossBetween val="between"/>
      </c:valAx>
      <c:spPr>
        <a:noFill/>
        <a:ln>
          <a:noFill/>
        </a:ln>
        <a:effectLst/>
      </c:spPr>
    </c:plotArea>
    <c:plotVisOnly val="1"/>
    <c:dispBlanksAs val="gap"/>
    <c:showDLblsOverMax val="0"/>
  </c:chart>
  <c:spPr>
    <a:solidFill>
      <a:schemeClr val="accent2">
        <a:lumMod val="20000"/>
        <a:lumOff val="80000"/>
      </a:schemeClr>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[global_cvd_burden_2021_2026_73_countries_1300_rows.csv.xlsx]CVD!PivotTable13</c:name>
    <c:fmtId val="0"/>
  </c:pivotSource>
  <c:chart>
    <c:autoTitleDeleted val="1"/>
    <c:pivotFmts>
      <c:pivotFmt>
        <c:idx val="0"/>
        <c:spPr>
          <a:ln w="28575" cap="rnd">
            <a:solidFill>
              <a:srgbClr val="FF0000"/>
            </a:solidFill>
            <a:round/>
          </a:ln>
          <a:effectLst/>
        </c:spPr>
        <c:marker>
          <c:symbol val="none"/>
        </c:marker>
      </c:pivotFmt>
    </c:pivotFmts>
    <c:plotArea>
      <c:layout/>
      <c:radarChart>
        <c:radarStyle val="marker"/>
        <c:varyColors val="0"/>
        <c:ser>
          <c:idx val="0"/>
          <c:order val="0"/>
          <c:tx>
            <c:strRef>
              <c:f>CVD!$B$3</c:f>
              <c:strCache>
                <c:ptCount val="1"/>
                <c:pt idx="0">
                  <c:v>Total</c:v>
                </c:pt>
              </c:strCache>
            </c:strRef>
          </c:tx>
          <c:spPr>
            <a:ln w="28575" cap="rnd">
              <a:solidFill>
                <a:srgbClr val="FF0000"/>
              </a:solidFill>
              <a:round/>
            </a:ln>
            <a:effectLst/>
          </c:spPr>
          <c:marker>
            <c:symbol val="none"/>
          </c:marker>
          <c:cat>
            <c:strRef>
              <c:f>CVD!$A$4:$A$10</c:f>
              <c:strCache>
                <c:ptCount val="6"/>
                <c:pt idx="0">
                  <c:v>2021</c:v>
                </c:pt>
                <c:pt idx="1">
                  <c:v>2022</c:v>
                </c:pt>
                <c:pt idx="2">
                  <c:v>2023</c:v>
                </c:pt>
                <c:pt idx="3">
                  <c:v>2024</c:v>
                </c:pt>
                <c:pt idx="4">
                  <c:v>2025</c:v>
                </c:pt>
                <c:pt idx="5">
                  <c:v>2026</c:v>
                </c:pt>
              </c:strCache>
            </c:strRef>
          </c:cat>
          <c:val>
            <c:numRef>
              <c:f>CVD!$B$4:$B$10</c:f>
              <c:numCache>
                <c:formatCode>General</c:formatCode>
                <c:ptCount val="6"/>
                <c:pt idx="0">
                  <c:v>5444171</c:v>
                </c:pt>
                <c:pt idx="1">
                  <c:v>8787372</c:v>
                </c:pt>
                <c:pt idx="2">
                  <c:v>8532186</c:v>
                </c:pt>
                <c:pt idx="3">
                  <c:v>420392</c:v>
                </c:pt>
                <c:pt idx="4">
                  <c:v>2546895</c:v>
                </c:pt>
                <c:pt idx="5">
                  <c:v>10403663</c:v>
                </c:pt>
              </c:numCache>
            </c:numRef>
          </c:val>
        </c:ser>
        <c:dLbls>
          <c:showLegendKey val="0"/>
          <c:showVal val="0"/>
          <c:showCatName val="0"/>
          <c:showSerName val="0"/>
          <c:showPercent val="0"/>
          <c:showBubbleSize val="0"/>
        </c:dLbls>
        <c:axId val="251191392"/>
        <c:axId val="251185512"/>
      </c:radarChart>
      <c:catAx>
        <c:axId val="251191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185512"/>
        <c:crosses val="autoZero"/>
        <c:auto val="1"/>
        <c:lblAlgn val="ctr"/>
        <c:lblOffset val="100"/>
        <c:noMultiLvlLbl val="0"/>
      </c:catAx>
      <c:valAx>
        <c:axId val="251185512"/>
        <c:scaling>
          <c:orientation val="minMax"/>
        </c:scaling>
        <c:delete val="0"/>
        <c:axPos val="l"/>
        <c:majorGridlines>
          <c:spPr>
            <a:ln w="9525" cap="flat" cmpd="sng" algn="ctr">
              <a:solidFill>
                <a:schemeClr val="bg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191392"/>
        <c:crosses val="autoZero"/>
        <c:crossBetween val="between"/>
      </c:valAx>
      <c:spPr>
        <a:noFill/>
        <a:ln>
          <a:noFill/>
        </a:ln>
        <a:effectLst/>
      </c:spPr>
    </c:plotArea>
    <c:plotVisOnly val="1"/>
    <c:dispBlanksAs val="gap"/>
    <c:showDLblsOverMax val="0"/>
  </c:chart>
  <c:spPr>
    <a:solidFill>
      <a:schemeClr val="accent2">
        <a:lumMod val="20000"/>
        <a:lumOff val="80000"/>
      </a:schemeClr>
    </a:solidFill>
    <a:ln w="6350" cap="flat" cmpd="sng" algn="ctr">
      <a:solidFill>
        <a:schemeClr val="tx1">
          <a:lumMod val="65000"/>
          <a:lumOff val="35000"/>
          <a:alpha val="9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[global_cvd_burden_2021_2026_73_countries_1300_rows.csv.xlsx]population!PivotTable1</c:name>
    <c:fmtId val="3"/>
  </c:pivotSource>
  <c:chart>
    <c:autoTitleDeleted val="1"/>
    <c:pivotFmts>
      <c:pivotFmt>
        <c:idx val="0"/>
        <c:spPr>
          <a:solidFill>
            <a:srgbClr val="FF5D5D"/>
          </a:solidFill>
          <a:ln>
            <a:noFill/>
          </a:ln>
          <a:effectLst/>
        </c:spPr>
        <c:marker>
          <c:symbol val="none"/>
        </c:marker>
      </c:pivotFmt>
      <c:pivotFmt>
        <c:idx val="1"/>
        <c:spPr>
          <a:solidFill>
            <a:srgbClr val="FF5D5D"/>
          </a:solidFill>
          <a:ln>
            <a:noFill/>
          </a:ln>
          <a:effectLst/>
        </c:spPr>
        <c:marker>
          <c:symbol val="none"/>
        </c:marker>
      </c:pivotFmt>
      <c:pivotFmt>
        <c:idx val="2"/>
        <c:spPr>
          <a:solidFill>
            <a:srgbClr val="FF5D5D"/>
          </a:solidFill>
          <a:ln>
            <a:noFill/>
          </a:ln>
          <a:effectLst/>
        </c:spPr>
        <c:marker>
          <c:symbol val="none"/>
        </c:marker>
      </c:pivotFmt>
    </c:pivotFmts>
    <c:plotArea>
      <c:layout/>
      <c:areaChart>
        <c:grouping val="standard"/>
        <c:varyColors val="0"/>
        <c:ser>
          <c:idx val="0"/>
          <c:order val="0"/>
          <c:tx>
            <c:strRef>
              <c:f>population!$B$3</c:f>
              <c:strCache>
                <c:ptCount val="1"/>
                <c:pt idx="0">
                  <c:v>Total</c:v>
                </c:pt>
              </c:strCache>
            </c:strRef>
          </c:tx>
          <c:spPr>
            <a:solidFill>
              <a:srgbClr val="FF5D5D"/>
            </a:solidFill>
            <a:ln>
              <a:noFill/>
            </a:ln>
            <a:effectLst/>
          </c:spPr>
          <c:cat>
            <c:strRef>
              <c:f>population!$A$4:$A$75</c:f>
              <c:strCache>
                <c:ptCount val="71"/>
                <c:pt idx="0">
                  <c:v>Algeria</c:v>
                </c:pt>
                <c:pt idx="1">
                  <c:v>Angola</c:v>
                </c:pt>
                <c:pt idx="2">
                  <c:v>Argentina</c:v>
                </c:pt>
                <c:pt idx="3">
                  <c:v>Australia</c:v>
                </c:pt>
                <c:pt idx="4">
                  <c:v>Austria</c:v>
                </c:pt>
                <c:pt idx="5">
                  <c:v>Bangladesh</c:v>
                </c:pt>
                <c:pt idx="6">
                  <c:v>Belgium</c:v>
                </c:pt>
                <c:pt idx="7">
                  <c:v>Botswana</c:v>
                </c:pt>
                <c:pt idx="8">
                  <c:v>Brazil</c:v>
                </c:pt>
                <c:pt idx="9">
                  <c:v>Bulgaria</c:v>
                </c:pt>
                <c:pt idx="10">
                  <c:v>Cameroon</c:v>
                </c:pt>
                <c:pt idx="11">
                  <c:v>Canada</c:v>
                </c:pt>
                <c:pt idx="12">
                  <c:v>Chile</c:v>
                </c:pt>
                <c:pt idx="13">
                  <c:v>China</c:v>
                </c:pt>
                <c:pt idx="14">
                  <c:v>Colombia</c:v>
                </c:pt>
                <c:pt idx="15">
                  <c:v>Czech Republic</c:v>
                </c:pt>
                <c:pt idx="16">
                  <c:v>Denmark</c:v>
                </c:pt>
                <c:pt idx="17">
                  <c:v>Egypt</c:v>
                </c:pt>
                <c:pt idx="18">
                  <c:v>Ethiopia</c:v>
                </c:pt>
                <c:pt idx="19">
                  <c:v>Finland</c:v>
                </c:pt>
                <c:pt idx="20">
                  <c:v>France</c:v>
                </c:pt>
                <c:pt idx="21">
                  <c:v>Germany</c:v>
                </c:pt>
                <c:pt idx="22">
                  <c:v>Ghana</c:v>
                </c:pt>
                <c:pt idx="23">
                  <c:v>Greece</c:v>
                </c:pt>
                <c:pt idx="24">
                  <c:v>Hungary</c:v>
                </c:pt>
                <c:pt idx="25">
                  <c:v>India</c:v>
                </c:pt>
                <c:pt idx="26">
                  <c:v>Indonesia</c:v>
                </c:pt>
                <c:pt idx="27">
                  <c:v>Israel</c:v>
                </c:pt>
                <c:pt idx="28">
                  <c:v>Italy</c:v>
                </c:pt>
                <c:pt idx="29">
                  <c:v>Ivory Coast</c:v>
                </c:pt>
                <c:pt idx="30">
                  <c:v>Japan</c:v>
                </c:pt>
                <c:pt idx="31">
                  <c:v>Kenya</c:v>
                </c:pt>
                <c:pt idx="32">
                  <c:v>Malaysia</c:v>
                </c:pt>
                <c:pt idx="33">
                  <c:v>Mexico</c:v>
                </c:pt>
                <c:pt idx="34">
                  <c:v>Morocco</c:v>
                </c:pt>
                <c:pt idx="35">
                  <c:v>Namibia</c:v>
                </c:pt>
                <c:pt idx="36">
                  <c:v>Netherlands</c:v>
                </c:pt>
                <c:pt idx="37">
                  <c:v>New Zealand</c:v>
                </c:pt>
                <c:pt idx="38">
                  <c:v>Nigeria</c:v>
                </c:pt>
                <c:pt idx="39">
                  <c:v>Norway</c:v>
                </c:pt>
                <c:pt idx="40">
                  <c:v>Pakistan</c:v>
                </c:pt>
                <c:pt idx="41">
                  <c:v>Peru</c:v>
                </c:pt>
                <c:pt idx="42">
                  <c:v>Philippines</c:v>
                </c:pt>
                <c:pt idx="43">
                  <c:v>Poland</c:v>
                </c:pt>
                <c:pt idx="44">
                  <c:v>Portugal</c:v>
                </c:pt>
                <c:pt idx="45">
                  <c:v>Qatar</c:v>
                </c:pt>
                <c:pt idx="46">
                  <c:v>Romania</c:v>
                </c:pt>
                <c:pt idx="47">
                  <c:v>Russia</c:v>
                </c:pt>
                <c:pt idx="48">
                  <c:v>Rwanda</c:v>
                </c:pt>
                <c:pt idx="49">
                  <c:v>Saudi Arabia</c:v>
                </c:pt>
                <c:pt idx="50">
                  <c:v>Senegal</c:v>
                </c:pt>
                <c:pt idx="51">
                  <c:v>Singapore</c:v>
                </c:pt>
                <c:pt idx="52">
                  <c:v>South Africa</c:v>
                </c:pt>
                <c:pt idx="53">
                  <c:v>South Korea</c:v>
                </c:pt>
                <c:pt idx="54">
                  <c:v>Spain</c:v>
                </c:pt>
                <c:pt idx="55">
                  <c:v>Sri Lanka</c:v>
                </c:pt>
                <c:pt idx="56">
                  <c:v>Sudan</c:v>
                </c:pt>
                <c:pt idx="57">
                  <c:v>Sweden</c:v>
                </c:pt>
                <c:pt idx="58">
                  <c:v>Switzerland</c:v>
                </c:pt>
                <c:pt idx="59">
                  <c:v>Tanzania</c:v>
                </c:pt>
                <c:pt idx="60">
                  <c:v>Thailand</c:v>
                </c:pt>
                <c:pt idx="61">
                  <c:v>Tunisia</c:v>
                </c:pt>
                <c:pt idx="62">
                  <c:v>Turkey</c:v>
                </c:pt>
                <c:pt idx="63">
                  <c:v>UAE</c:v>
                </c:pt>
                <c:pt idx="64">
                  <c:v>Uganda</c:v>
                </c:pt>
                <c:pt idx="65">
                  <c:v>UK</c:v>
                </c:pt>
                <c:pt idx="66">
                  <c:v>Ukraine</c:v>
                </c:pt>
                <c:pt idx="67">
                  <c:v>USA</c:v>
                </c:pt>
                <c:pt idx="68">
                  <c:v>Vietnam</c:v>
                </c:pt>
                <c:pt idx="69">
                  <c:v>Zambia</c:v>
                </c:pt>
                <c:pt idx="70">
                  <c:v>Zimbabwe</c:v>
                </c:pt>
              </c:strCache>
            </c:strRef>
          </c:cat>
          <c:val>
            <c:numRef>
              <c:f>population!$B$4:$B$75</c:f>
              <c:numCache>
                <c:formatCode>General</c:formatCode>
                <c:ptCount val="71"/>
                <c:pt idx="0">
                  <c:v>201226927</c:v>
                </c:pt>
                <c:pt idx="1">
                  <c:v>355207811</c:v>
                </c:pt>
                <c:pt idx="2">
                  <c:v>302709017</c:v>
                </c:pt>
                <c:pt idx="3">
                  <c:v>273170517</c:v>
                </c:pt>
                <c:pt idx="4">
                  <c:v>435139930</c:v>
                </c:pt>
                <c:pt idx="5">
                  <c:v>419625096</c:v>
                </c:pt>
                <c:pt idx="6">
                  <c:v>333570067</c:v>
                </c:pt>
                <c:pt idx="7">
                  <c:v>313783459</c:v>
                </c:pt>
                <c:pt idx="8">
                  <c:v>258944524</c:v>
                </c:pt>
                <c:pt idx="9">
                  <c:v>256475876</c:v>
                </c:pt>
                <c:pt idx="10">
                  <c:v>397935382</c:v>
                </c:pt>
                <c:pt idx="11">
                  <c:v>432460070</c:v>
                </c:pt>
                <c:pt idx="12">
                  <c:v>525629365</c:v>
                </c:pt>
                <c:pt idx="13">
                  <c:v>279879083</c:v>
                </c:pt>
                <c:pt idx="14">
                  <c:v>363998341</c:v>
                </c:pt>
                <c:pt idx="15">
                  <c:v>215268629</c:v>
                </c:pt>
                <c:pt idx="16">
                  <c:v>334983307</c:v>
                </c:pt>
                <c:pt idx="17">
                  <c:v>378452121</c:v>
                </c:pt>
                <c:pt idx="18">
                  <c:v>442949255</c:v>
                </c:pt>
                <c:pt idx="19">
                  <c:v>415691408</c:v>
                </c:pt>
                <c:pt idx="20">
                  <c:v>247967993</c:v>
                </c:pt>
                <c:pt idx="21">
                  <c:v>157955383</c:v>
                </c:pt>
                <c:pt idx="22">
                  <c:v>261426535</c:v>
                </c:pt>
                <c:pt idx="23">
                  <c:v>459277723</c:v>
                </c:pt>
                <c:pt idx="24">
                  <c:v>272542057</c:v>
                </c:pt>
                <c:pt idx="25">
                  <c:v>326369701</c:v>
                </c:pt>
                <c:pt idx="26">
                  <c:v>505297611</c:v>
                </c:pt>
                <c:pt idx="27">
                  <c:v>330641994</c:v>
                </c:pt>
                <c:pt idx="28">
                  <c:v>253472098</c:v>
                </c:pt>
                <c:pt idx="29">
                  <c:v>235747842</c:v>
                </c:pt>
                <c:pt idx="30">
                  <c:v>374631626</c:v>
                </c:pt>
                <c:pt idx="31">
                  <c:v>377509409</c:v>
                </c:pt>
                <c:pt idx="32">
                  <c:v>259253608</c:v>
                </c:pt>
                <c:pt idx="33">
                  <c:v>404483131</c:v>
                </c:pt>
                <c:pt idx="34">
                  <c:v>191091026</c:v>
                </c:pt>
                <c:pt idx="35">
                  <c:v>355172651</c:v>
                </c:pt>
                <c:pt idx="36">
                  <c:v>409776057</c:v>
                </c:pt>
                <c:pt idx="37">
                  <c:v>415932585</c:v>
                </c:pt>
                <c:pt idx="38">
                  <c:v>264654928</c:v>
                </c:pt>
                <c:pt idx="39">
                  <c:v>339441045</c:v>
                </c:pt>
                <c:pt idx="40">
                  <c:v>197481500</c:v>
                </c:pt>
                <c:pt idx="41">
                  <c:v>335077150</c:v>
                </c:pt>
                <c:pt idx="42">
                  <c:v>325176369</c:v>
                </c:pt>
                <c:pt idx="43">
                  <c:v>136404477</c:v>
                </c:pt>
                <c:pt idx="44">
                  <c:v>360573339</c:v>
                </c:pt>
                <c:pt idx="45">
                  <c:v>321454874</c:v>
                </c:pt>
                <c:pt idx="46">
                  <c:v>434793610</c:v>
                </c:pt>
                <c:pt idx="47">
                  <c:v>259553646</c:v>
                </c:pt>
                <c:pt idx="48">
                  <c:v>403835455</c:v>
                </c:pt>
                <c:pt idx="49">
                  <c:v>259008089</c:v>
                </c:pt>
                <c:pt idx="50">
                  <c:v>364161823</c:v>
                </c:pt>
                <c:pt idx="51">
                  <c:v>255241567</c:v>
                </c:pt>
                <c:pt idx="52">
                  <c:v>209140859</c:v>
                </c:pt>
                <c:pt idx="53">
                  <c:v>369499204</c:v>
                </c:pt>
                <c:pt idx="54">
                  <c:v>165425123</c:v>
                </c:pt>
                <c:pt idx="55">
                  <c:v>315748921</c:v>
                </c:pt>
                <c:pt idx="56">
                  <c:v>219067365</c:v>
                </c:pt>
                <c:pt idx="57">
                  <c:v>393159200</c:v>
                </c:pt>
                <c:pt idx="58">
                  <c:v>361320978</c:v>
                </c:pt>
                <c:pt idx="59">
                  <c:v>240012784</c:v>
                </c:pt>
                <c:pt idx="60">
                  <c:v>393340437</c:v>
                </c:pt>
                <c:pt idx="61">
                  <c:v>194756088</c:v>
                </c:pt>
                <c:pt idx="62">
                  <c:v>110703039</c:v>
                </c:pt>
                <c:pt idx="63">
                  <c:v>239681575</c:v>
                </c:pt>
                <c:pt idx="64">
                  <c:v>458512499</c:v>
                </c:pt>
                <c:pt idx="65">
                  <c:v>296699949</c:v>
                </c:pt>
                <c:pt idx="66">
                  <c:v>209135441</c:v>
                </c:pt>
                <c:pt idx="67">
                  <c:v>127650610</c:v>
                </c:pt>
                <c:pt idx="68">
                  <c:v>418372933</c:v>
                </c:pt>
                <c:pt idx="69">
                  <c:v>265135882</c:v>
                </c:pt>
                <c:pt idx="70">
                  <c:v>261280093</c:v>
                </c:pt>
              </c:numCache>
            </c:numRef>
          </c:val>
        </c:ser>
        <c:dLbls>
          <c:showLegendKey val="0"/>
          <c:showVal val="0"/>
          <c:showCatName val="0"/>
          <c:showSerName val="0"/>
          <c:showPercent val="0"/>
          <c:showBubbleSize val="0"/>
        </c:dLbls>
        <c:axId val="251185904"/>
        <c:axId val="251188648"/>
      </c:areaChart>
      <c:catAx>
        <c:axId val="2511859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188648"/>
        <c:crosses val="autoZero"/>
        <c:auto val="1"/>
        <c:lblAlgn val="ctr"/>
        <c:lblOffset val="100"/>
        <c:noMultiLvlLbl val="0"/>
      </c:catAx>
      <c:valAx>
        <c:axId val="25118864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185904"/>
        <c:crosses val="autoZero"/>
        <c:crossBetween val="midCat"/>
      </c:valAx>
      <c:spPr>
        <a:noFill/>
        <a:ln>
          <a:noFill/>
        </a:ln>
        <a:effectLst/>
      </c:spPr>
    </c:plotArea>
    <c:plotVisOnly val="1"/>
    <c:dispBlanksAs val="zero"/>
    <c:showDLblsOverMax val="0"/>
  </c:chart>
  <c:spPr>
    <a:solidFill>
      <a:schemeClr val="accent2">
        <a:lumMod val="20000"/>
        <a:lumOff val="80000"/>
      </a:schemeClr>
    </a:solidFill>
    <a:ln w="9525" cap="flat" cmpd="sng" algn="ctr">
      <a:solidFill>
        <a:srgbClr val="FF0000">
          <a:alpha val="80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[global_cvd_burden_2021_2026_73_countries_1300_rows.csv.xlsx]M&amp;F!PivotTable5</c:name>
    <c:fmtId val="2"/>
  </c:pivotSource>
  <c:chart>
    <c:autoTitleDeleted val="1"/>
    <c:pivotFmts>
      <c:pivotFmt>
        <c:idx val="0"/>
        <c:spPr>
          <a:solidFill>
            <a:schemeClr val="accent1"/>
          </a:solidFill>
          <a:ln>
            <a:noFill/>
          </a:ln>
          <a:effectLst/>
          <a:sp3d/>
        </c:spPr>
        <c:marker>
          <c:symbol val="none"/>
        </c:marker>
      </c:pivotFmt>
      <c:pivotFmt>
        <c:idx val="1"/>
        <c:spPr>
          <a:solidFill>
            <a:srgbClr val="FDC4B9"/>
          </a:solidFill>
          <a:ln>
            <a:noFill/>
          </a:ln>
          <a:effectLst/>
          <a:sp3d/>
        </c:spPr>
      </c:pivotFmt>
      <c:pivotFmt>
        <c:idx val="2"/>
        <c:spPr>
          <a:solidFill>
            <a:srgbClr val="F47C68"/>
          </a:solidFill>
          <a:ln>
            <a:noFill/>
          </a:ln>
          <a:effectLst/>
          <a:sp3d/>
        </c:spPr>
      </c:pivotFmt>
      <c:pivotFmt>
        <c:idx val="3"/>
        <c:spPr>
          <a:solidFill>
            <a:srgbClr val="F28285"/>
          </a:solidFill>
          <a:ln>
            <a:noFill/>
          </a:ln>
          <a:effectLst/>
          <a:sp3d/>
        </c:spPr>
      </c:pivotFmt>
      <c:pivotFmt>
        <c:idx val="4"/>
        <c:spPr>
          <a:solidFill>
            <a:srgbClr val="FF0000"/>
          </a:solidFill>
          <a:ln>
            <a:noFill/>
          </a:ln>
          <a:effectLst/>
          <a:sp3d/>
        </c:spPr>
      </c:pivotFmt>
      <c:pivotFmt>
        <c:idx val="5"/>
        <c:spPr>
          <a:solidFill>
            <a:srgbClr val="FF3300"/>
          </a:solidFill>
          <a:ln>
            <a:noFill/>
          </a:ln>
          <a:effectLst/>
          <a:sp3d/>
        </c:spPr>
      </c:pivotFmt>
      <c:pivotFmt>
        <c:idx val="6"/>
        <c:spPr>
          <a:solidFill>
            <a:srgbClr val="F9272C"/>
          </a:solidFill>
          <a:ln>
            <a:noFill/>
          </a:ln>
          <a:effectLst/>
          <a:sp3d/>
        </c:spPr>
      </c:pivotFmt>
      <c:pivotFmt>
        <c:idx val="7"/>
        <c:spPr>
          <a:solidFill>
            <a:schemeClr val="accent1"/>
          </a:solidFill>
          <a:ln>
            <a:noFill/>
          </a:ln>
          <a:effectLst/>
          <a:sp3d/>
        </c:spPr>
        <c:marker>
          <c:symbol val="none"/>
        </c:marker>
      </c:pivotFmt>
      <c:pivotFmt>
        <c:idx val="8"/>
        <c:spPr>
          <a:solidFill>
            <a:srgbClr val="F9272C"/>
          </a:solidFill>
          <a:ln>
            <a:noFill/>
          </a:ln>
          <a:effectLst/>
          <a:sp3d/>
        </c:spPr>
      </c:pivotFmt>
      <c:pivotFmt>
        <c:idx val="9"/>
        <c:spPr>
          <a:solidFill>
            <a:srgbClr val="FF3300"/>
          </a:solidFill>
          <a:ln>
            <a:noFill/>
          </a:ln>
          <a:effectLst/>
          <a:sp3d/>
        </c:spPr>
      </c:pivotFmt>
      <c:pivotFmt>
        <c:idx val="10"/>
        <c:spPr>
          <a:solidFill>
            <a:srgbClr val="FF0000"/>
          </a:solidFill>
          <a:ln>
            <a:noFill/>
          </a:ln>
          <a:effectLst/>
          <a:sp3d/>
        </c:spPr>
      </c:pivotFmt>
      <c:pivotFmt>
        <c:idx val="11"/>
        <c:spPr>
          <a:solidFill>
            <a:srgbClr val="F28285"/>
          </a:solidFill>
          <a:ln>
            <a:noFill/>
          </a:ln>
          <a:effectLst/>
          <a:sp3d/>
        </c:spPr>
      </c:pivotFmt>
      <c:pivotFmt>
        <c:idx val="12"/>
        <c:spPr>
          <a:solidFill>
            <a:srgbClr val="F47C68"/>
          </a:solidFill>
          <a:ln>
            <a:noFill/>
          </a:ln>
          <a:effectLst/>
          <a:sp3d/>
        </c:spPr>
      </c:pivotFmt>
      <c:pivotFmt>
        <c:idx val="13"/>
        <c:spPr>
          <a:solidFill>
            <a:srgbClr val="FDC4B9"/>
          </a:solidFill>
          <a:ln>
            <a:noFill/>
          </a:ln>
          <a:effectLst/>
          <a:sp3d/>
        </c:spPr>
      </c:pivotFmt>
      <c:pivotFmt>
        <c:idx val="14"/>
        <c:spPr>
          <a:solidFill>
            <a:schemeClr val="accent1"/>
          </a:solidFill>
          <a:ln>
            <a:noFill/>
          </a:ln>
          <a:effectLst/>
          <a:sp3d/>
        </c:spPr>
        <c:marker>
          <c:symbol val="none"/>
        </c:marker>
      </c:pivotFmt>
      <c:pivotFmt>
        <c:idx val="15"/>
        <c:spPr>
          <a:solidFill>
            <a:srgbClr val="F9272C"/>
          </a:solidFill>
          <a:ln>
            <a:noFill/>
          </a:ln>
          <a:effectLst/>
          <a:sp3d/>
        </c:spPr>
      </c:pivotFmt>
      <c:pivotFmt>
        <c:idx val="16"/>
        <c:spPr>
          <a:solidFill>
            <a:srgbClr val="FF3300"/>
          </a:solidFill>
          <a:ln>
            <a:noFill/>
          </a:ln>
          <a:effectLst/>
          <a:sp3d/>
        </c:spPr>
      </c:pivotFmt>
      <c:pivotFmt>
        <c:idx val="17"/>
        <c:spPr>
          <a:solidFill>
            <a:srgbClr val="FF0000"/>
          </a:solidFill>
          <a:ln>
            <a:noFill/>
          </a:ln>
          <a:effectLst/>
          <a:sp3d/>
        </c:spPr>
      </c:pivotFmt>
      <c:pivotFmt>
        <c:idx val="18"/>
        <c:spPr>
          <a:solidFill>
            <a:srgbClr val="F28285"/>
          </a:solidFill>
          <a:ln>
            <a:noFill/>
          </a:ln>
          <a:effectLst/>
          <a:sp3d/>
        </c:spPr>
      </c:pivotFmt>
      <c:pivotFmt>
        <c:idx val="19"/>
        <c:spPr>
          <a:solidFill>
            <a:srgbClr val="F47C68"/>
          </a:solidFill>
          <a:ln>
            <a:noFill/>
          </a:ln>
          <a:effectLst/>
          <a:sp3d/>
        </c:spPr>
      </c:pivotFmt>
      <c:pivotFmt>
        <c:idx val="20"/>
        <c:spPr>
          <a:solidFill>
            <a:srgbClr val="FDC4B9"/>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'M&amp;F'!$B$3</c:f>
              <c:strCache>
                <c:ptCount val="1"/>
                <c:pt idx="0">
                  <c:v>Total</c:v>
                </c:pt>
              </c:strCache>
            </c:strRef>
          </c:tx>
          <c:spPr>
            <a:solidFill>
              <a:schemeClr val="accent1"/>
            </a:solidFill>
            <a:ln>
              <a:noFill/>
            </a:ln>
            <a:effectLst/>
            <a:sp3d/>
          </c:spPr>
          <c:invertIfNegative val="0"/>
          <c:dPt>
            <c:idx val="0"/>
            <c:invertIfNegative val="0"/>
            <c:bubble3D val="0"/>
            <c:spPr>
              <a:solidFill>
                <a:srgbClr val="F9272C"/>
              </a:solidFill>
              <a:ln>
                <a:noFill/>
              </a:ln>
              <a:effectLst/>
              <a:sp3d/>
            </c:spPr>
          </c:dPt>
          <c:dPt>
            <c:idx val="1"/>
            <c:invertIfNegative val="0"/>
            <c:bubble3D val="0"/>
            <c:spPr>
              <a:solidFill>
                <a:srgbClr val="FF3300"/>
              </a:solidFill>
              <a:ln>
                <a:noFill/>
              </a:ln>
              <a:effectLst/>
              <a:sp3d/>
            </c:spPr>
          </c:dPt>
          <c:dPt>
            <c:idx val="2"/>
            <c:invertIfNegative val="0"/>
            <c:bubble3D val="0"/>
            <c:spPr>
              <a:solidFill>
                <a:srgbClr val="FF0000"/>
              </a:solidFill>
              <a:ln>
                <a:noFill/>
              </a:ln>
              <a:effectLst/>
              <a:sp3d/>
            </c:spPr>
          </c:dPt>
          <c:dPt>
            <c:idx val="3"/>
            <c:invertIfNegative val="0"/>
            <c:bubble3D val="0"/>
            <c:spPr>
              <a:solidFill>
                <a:srgbClr val="F28285"/>
              </a:solidFill>
              <a:ln>
                <a:noFill/>
              </a:ln>
              <a:effectLst/>
              <a:sp3d/>
            </c:spPr>
          </c:dPt>
          <c:dPt>
            <c:idx val="4"/>
            <c:invertIfNegative val="0"/>
            <c:bubble3D val="0"/>
            <c:spPr>
              <a:solidFill>
                <a:srgbClr val="F47C68"/>
              </a:solidFill>
              <a:ln>
                <a:noFill/>
              </a:ln>
              <a:effectLst/>
              <a:sp3d/>
            </c:spPr>
          </c:dPt>
          <c:dPt>
            <c:idx val="5"/>
            <c:invertIfNegative val="0"/>
            <c:bubble3D val="0"/>
            <c:spPr>
              <a:solidFill>
                <a:srgbClr val="FDC4B9"/>
              </a:solidFill>
              <a:ln>
                <a:noFill/>
              </a:ln>
              <a:effectLst/>
              <a:sp3d/>
            </c:spPr>
          </c:dPt>
          <c:cat>
            <c:strRef>
              <c:f>'M&amp;F'!$A$4:$A$10</c:f>
              <c:strCache>
                <c:ptCount val="6"/>
                <c:pt idx="0">
                  <c:v>Africa</c:v>
                </c:pt>
                <c:pt idx="1">
                  <c:v>Asia</c:v>
                </c:pt>
                <c:pt idx="2">
                  <c:v>Europe</c:v>
                </c:pt>
                <c:pt idx="3">
                  <c:v>North America</c:v>
                </c:pt>
                <c:pt idx="4">
                  <c:v>Oceania</c:v>
                </c:pt>
                <c:pt idx="5">
                  <c:v>South America</c:v>
                </c:pt>
              </c:strCache>
            </c:strRef>
          </c:cat>
          <c:val>
            <c:numRef>
              <c:f>'M&amp;F'!$B$4:$B$10</c:f>
              <c:numCache>
                <c:formatCode>General</c:formatCode>
                <c:ptCount val="6"/>
                <c:pt idx="0">
                  <c:v>3212384326</c:v>
                </c:pt>
                <c:pt idx="1">
                  <c:v>2854571363</c:v>
                </c:pt>
                <c:pt idx="2">
                  <c:v>3379723479</c:v>
                </c:pt>
                <c:pt idx="3">
                  <c:v>472386358</c:v>
                </c:pt>
                <c:pt idx="4">
                  <c:v>349704158</c:v>
                </c:pt>
                <c:pt idx="5">
                  <c:v>891536684</c:v>
                </c:pt>
              </c:numCache>
            </c:numRef>
          </c:val>
        </c:ser>
        <c:dLbls>
          <c:showLegendKey val="0"/>
          <c:showVal val="0"/>
          <c:showCatName val="0"/>
          <c:showSerName val="0"/>
          <c:showPercent val="0"/>
          <c:showBubbleSize val="0"/>
        </c:dLbls>
        <c:gapWidth val="150"/>
        <c:shape val="box"/>
        <c:axId val="269868896"/>
        <c:axId val="269871248"/>
        <c:axId val="0"/>
      </c:bar3DChart>
      <c:catAx>
        <c:axId val="26986889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871248"/>
        <c:crosses val="autoZero"/>
        <c:auto val="1"/>
        <c:lblAlgn val="ctr"/>
        <c:lblOffset val="100"/>
        <c:noMultiLvlLbl val="0"/>
      </c:catAx>
      <c:valAx>
        <c:axId val="26987124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868896"/>
        <c:crosses val="autoZero"/>
        <c:crossBetween val="between"/>
      </c:valAx>
      <c:spPr>
        <a:noFill/>
        <a:ln>
          <a:noFill/>
        </a:ln>
        <a:effectLst/>
      </c:spPr>
    </c:plotArea>
    <c:plotVisOnly val="1"/>
    <c:dispBlanksAs val="gap"/>
    <c:showDLblsOverMax val="0"/>
  </c:chart>
  <c:spPr>
    <a:solidFill>
      <a:schemeClr val="accent2">
        <a:lumMod val="20000"/>
        <a:lumOff val="80000"/>
      </a:schemeClr>
    </a:solidFill>
    <a:ln w="9525" cap="flat" cmpd="sng" algn="ctr">
      <a:solidFill>
        <a:srgbClr val="FF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[global_cvd_burden_2021_2026_73_countries_1300_rows.csv.xlsx]M&amp;F!PivotTable6</c:name>
    <c:fmtId val="2"/>
  </c:pivotSource>
  <c:chart>
    <c:autoTitleDeleted val="1"/>
    <c:pivotFmts>
      <c:pivotFmt>
        <c:idx val="0"/>
        <c:spPr>
          <a:solidFill>
            <a:schemeClr val="accent1"/>
          </a:solidFill>
          <a:ln>
            <a:noFill/>
          </a:ln>
          <a:effectLst/>
        </c:spPr>
        <c:marker>
          <c:symbol val="none"/>
        </c:marker>
      </c:pivotFmt>
      <c:pivotFmt>
        <c:idx val="1"/>
        <c:spPr>
          <a:solidFill>
            <a:srgbClr val="FDC4B9"/>
          </a:solidFill>
          <a:ln>
            <a:noFill/>
          </a:ln>
          <a:effectLst/>
        </c:spPr>
      </c:pivotFmt>
      <c:pivotFmt>
        <c:idx val="2"/>
        <c:spPr>
          <a:solidFill>
            <a:srgbClr val="F28285"/>
          </a:solidFill>
          <a:ln>
            <a:noFill/>
          </a:ln>
          <a:effectLst/>
        </c:spPr>
      </c:pivotFmt>
      <c:pivotFmt>
        <c:idx val="3"/>
        <c:spPr>
          <a:solidFill>
            <a:srgbClr val="FF5D5D"/>
          </a:solidFill>
          <a:ln>
            <a:noFill/>
          </a:ln>
          <a:effectLst/>
        </c:spPr>
      </c:pivotFmt>
      <c:pivotFmt>
        <c:idx val="4"/>
        <c:spPr>
          <a:solidFill>
            <a:srgbClr val="FF0000"/>
          </a:solidFill>
          <a:ln>
            <a:noFill/>
          </a:ln>
          <a:effectLst/>
        </c:spPr>
      </c:pivotFmt>
      <c:pivotFmt>
        <c:idx val="5"/>
        <c:spPr>
          <a:solidFill>
            <a:srgbClr val="FF5D5D"/>
          </a:solidFill>
          <a:ln>
            <a:noFill/>
          </a:ln>
          <a:effectLst/>
        </c:spPr>
      </c:pivotFmt>
      <c:pivotFmt>
        <c:idx val="6"/>
        <c:spPr>
          <a:solidFill>
            <a:srgbClr val="F9272C"/>
          </a:solidFill>
          <a:ln>
            <a:noFill/>
          </a:ln>
          <a:effectLst/>
        </c:spPr>
      </c:pivotFmt>
      <c:pivotFmt>
        <c:idx val="7"/>
        <c:spPr>
          <a:solidFill>
            <a:schemeClr val="accent1"/>
          </a:solidFill>
          <a:ln>
            <a:noFill/>
          </a:ln>
          <a:effectLst/>
        </c:spPr>
        <c:marker>
          <c:symbol val="none"/>
        </c:marker>
      </c:pivotFmt>
      <c:pivotFmt>
        <c:idx val="8"/>
        <c:spPr>
          <a:solidFill>
            <a:srgbClr val="FDC4B9"/>
          </a:solidFill>
          <a:ln>
            <a:noFill/>
          </a:ln>
          <a:effectLst/>
        </c:spPr>
      </c:pivotFmt>
      <c:pivotFmt>
        <c:idx val="9"/>
        <c:spPr>
          <a:solidFill>
            <a:srgbClr val="F28285"/>
          </a:solidFill>
          <a:ln>
            <a:noFill/>
          </a:ln>
          <a:effectLst/>
        </c:spPr>
      </c:pivotFmt>
      <c:pivotFmt>
        <c:idx val="10"/>
        <c:spPr>
          <a:solidFill>
            <a:srgbClr val="FF5D5D"/>
          </a:solidFill>
          <a:ln>
            <a:noFill/>
          </a:ln>
          <a:effectLst/>
        </c:spPr>
      </c:pivotFmt>
      <c:pivotFmt>
        <c:idx val="11"/>
        <c:spPr>
          <a:solidFill>
            <a:srgbClr val="FF0000"/>
          </a:solidFill>
          <a:ln>
            <a:noFill/>
          </a:ln>
          <a:effectLst/>
        </c:spPr>
      </c:pivotFmt>
      <c:pivotFmt>
        <c:idx val="12"/>
        <c:spPr>
          <a:solidFill>
            <a:srgbClr val="FF5D5D"/>
          </a:solidFill>
          <a:ln>
            <a:noFill/>
          </a:ln>
          <a:effectLst/>
        </c:spPr>
      </c:pivotFmt>
      <c:pivotFmt>
        <c:idx val="13"/>
        <c:spPr>
          <a:solidFill>
            <a:srgbClr val="F9272C"/>
          </a:solidFill>
          <a:ln>
            <a:noFill/>
          </a:ln>
          <a:effectLst/>
        </c:spPr>
      </c:pivotFmt>
      <c:pivotFmt>
        <c:idx val="14"/>
        <c:spPr>
          <a:solidFill>
            <a:schemeClr val="accent1"/>
          </a:solidFill>
          <a:ln>
            <a:noFill/>
          </a:ln>
          <a:effectLst/>
        </c:spPr>
        <c:marker>
          <c:symbol val="none"/>
        </c:marker>
      </c:pivotFmt>
      <c:pivotFmt>
        <c:idx val="15"/>
        <c:spPr>
          <a:solidFill>
            <a:srgbClr val="FDC4B9"/>
          </a:solidFill>
          <a:ln>
            <a:noFill/>
          </a:ln>
          <a:effectLst/>
        </c:spPr>
      </c:pivotFmt>
      <c:pivotFmt>
        <c:idx val="16"/>
        <c:spPr>
          <a:solidFill>
            <a:srgbClr val="F28285"/>
          </a:solidFill>
          <a:ln>
            <a:noFill/>
          </a:ln>
          <a:effectLst/>
        </c:spPr>
      </c:pivotFmt>
      <c:pivotFmt>
        <c:idx val="17"/>
        <c:spPr>
          <a:solidFill>
            <a:srgbClr val="FF5D5D"/>
          </a:solidFill>
          <a:ln>
            <a:noFill/>
          </a:ln>
          <a:effectLst/>
        </c:spPr>
      </c:pivotFmt>
      <c:pivotFmt>
        <c:idx val="18"/>
        <c:spPr>
          <a:solidFill>
            <a:srgbClr val="FF0000"/>
          </a:solidFill>
          <a:ln>
            <a:noFill/>
          </a:ln>
          <a:effectLst/>
        </c:spPr>
      </c:pivotFmt>
      <c:pivotFmt>
        <c:idx val="19"/>
        <c:spPr>
          <a:solidFill>
            <a:srgbClr val="FF5D5D"/>
          </a:solidFill>
          <a:ln>
            <a:noFill/>
          </a:ln>
          <a:effectLst/>
        </c:spPr>
      </c:pivotFmt>
      <c:pivotFmt>
        <c:idx val="20"/>
        <c:spPr>
          <a:solidFill>
            <a:srgbClr val="F9272C"/>
          </a:solidFill>
          <a:ln>
            <a:noFill/>
          </a:ln>
          <a:effectLst/>
        </c:spPr>
      </c:pivotFmt>
    </c:pivotFmts>
    <c:plotArea>
      <c:layout/>
      <c:barChart>
        <c:barDir val="col"/>
        <c:grouping val="clustered"/>
        <c:varyColors val="0"/>
        <c:ser>
          <c:idx val="0"/>
          <c:order val="0"/>
          <c:tx>
            <c:strRef>
              <c:f>'M&amp;F'!$E$3</c:f>
              <c:strCache>
                <c:ptCount val="1"/>
                <c:pt idx="0">
                  <c:v>Total</c:v>
                </c:pt>
              </c:strCache>
            </c:strRef>
          </c:tx>
          <c:spPr>
            <a:solidFill>
              <a:schemeClr val="accent1"/>
            </a:solidFill>
            <a:ln>
              <a:noFill/>
            </a:ln>
            <a:effectLst/>
          </c:spPr>
          <c:invertIfNegative val="0"/>
          <c:dPt>
            <c:idx val="0"/>
            <c:invertIfNegative val="0"/>
            <c:bubble3D val="0"/>
            <c:spPr>
              <a:solidFill>
                <a:srgbClr val="FDC4B9"/>
              </a:solidFill>
              <a:ln>
                <a:noFill/>
              </a:ln>
              <a:effectLst/>
            </c:spPr>
          </c:dPt>
          <c:dPt>
            <c:idx val="1"/>
            <c:invertIfNegative val="0"/>
            <c:bubble3D val="0"/>
            <c:spPr>
              <a:solidFill>
                <a:srgbClr val="F28285"/>
              </a:solidFill>
              <a:ln>
                <a:noFill/>
              </a:ln>
              <a:effectLst/>
            </c:spPr>
          </c:dPt>
          <c:dPt>
            <c:idx val="2"/>
            <c:invertIfNegative val="0"/>
            <c:bubble3D val="0"/>
            <c:spPr>
              <a:solidFill>
                <a:srgbClr val="FF5D5D"/>
              </a:solidFill>
              <a:ln>
                <a:noFill/>
              </a:ln>
              <a:effectLst/>
            </c:spPr>
          </c:dPt>
          <c:dPt>
            <c:idx val="3"/>
            <c:invertIfNegative val="0"/>
            <c:bubble3D val="0"/>
            <c:spPr>
              <a:solidFill>
                <a:srgbClr val="FF0000"/>
              </a:solidFill>
              <a:ln>
                <a:noFill/>
              </a:ln>
              <a:effectLst/>
            </c:spPr>
          </c:dPt>
          <c:dPt>
            <c:idx val="4"/>
            <c:invertIfNegative val="0"/>
            <c:bubble3D val="0"/>
            <c:spPr>
              <a:solidFill>
                <a:srgbClr val="FF5D5D"/>
              </a:solidFill>
              <a:ln>
                <a:noFill/>
              </a:ln>
              <a:effectLst/>
            </c:spPr>
          </c:dPt>
          <c:dPt>
            <c:idx val="5"/>
            <c:invertIfNegative val="0"/>
            <c:bubble3D val="0"/>
            <c:spPr>
              <a:solidFill>
                <a:srgbClr val="F9272C"/>
              </a:solidFill>
              <a:ln>
                <a:noFill/>
              </a:ln>
              <a:effectLst/>
            </c:spPr>
          </c:dPt>
          <c:cat>
            <c:strRef>
              <c:f>'M&amp;F'!$D$4:$D$10</c:f>
              <c:strCache>
                <c:ptCount val="6"/>
                <c:pt idx="0">
                  <c:v>Africa</c:v>
                </c:pt>
                <c:pt idx="1">
                  <c:v>Asia</c:v>
                </c:pt>
                <c:pt idx="2">
                  <c:v>Europe</c:v>
                </c:pt>
                <c:pt idx="3">
                  <c:v>North America</c:v>
                </c:pt>
                <c:pt idx="4">
                  <c:v>Oceania</c:v>
                </c:pt>
                <c:pt idx="5">
                  <c:v>South America</c:v>
                </c:pt>
              </c:strCache>
            </c:strRef>
          </c:cat>
          <c:val>
            <c:numRef>
              <c:f>'M&amp;F'!$E$4:$E$10</c:f>
              <c:numCache>
                <c:formatCode>General</c:formatCode>
                <c:ptCount val="6"/>
                <c:pt idx="0">
                  <c:v>3178675868</c:v>
                </c:pt>
                <c:pt idx="1">
                  <c:v>2846835864</c:v>
                </c:pt>
                <c:pt idx="2">
                  <c:v>3368903857</c:v>
                </c:pt>
                <c:pt idx="3">
                  <c:v>492207453</c:v>
                </c:pt>
                <c:pt idx="4">
                  <c:v>339398944</c:v>
                </c:pt>
                <c:pt idx="5">
                  <c:v>894821713</c:v>
                </c:pt>
              </c:numCache>
            </c:numRef>
          </c:val>
        </c:ser>
        <c:dLbls>
          <c:showLegendKey val="0"/>
          <c:showVal val="0"/>
          <c:showCatName val="0"/>
          <c:showSerName val="0"/>
          <c:showPercent val="0"/>
          <c:showBubbleSize val="0"/>
        </c:dLbls>
        <c:gapWidth val="219"/>
        <c:overlap val="-27"/>
        <c:axId val="269871640"/>
        <c:axId val="269866152"/>
      </c:barChart>
      <c:catAx>
        <c:axId val="2698716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866152"/>
        <c:crosses val="autoZero"/>
        <c:auto val="1"/>
        <c:lblAlgn val="ctr"/>
        <c:lblOffset val="100"/>
        <c:noMultiLvlLbl val="0"/>
      </c:catAx>
      <c:valAx>
        <c:axId val="2698661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871640"/>
        <c:crosses val="autoZero"/>
        <c:crossBetween val="between"/>
      </c:valAx>
      <c:spPr>
        <a:noFill/>
        <a:ln>
          <a:noFill/>
        </a:ln>
        <a:effectLst/>
      </c:spPr>
    </c:plotArea>
    <c:plotVisOnly val="1"/>
    <c:dispBlanksAs val="gap"/>
    <c:showDLblsOverMax val="0"/>
  </c:chart>
  <c:spPr>
    <a:solidFill>
      <a:schemeClr val="accent2">
        <a:lumMod val="20000"/>
        <a:lumOff val="80000"/>
      </a:schemeClr>
    </a:solidFill>
    <a:ln w="9525" cap="flat" cmpd="sng" algn="ctr">
      <a:solidFill>
        <a:srgbClr val="F8081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[global_cvd_burden_2021_2026_73_countries_1300_rows.csv.xlsx]Risk!PivotTable8</c:name>
    <c:fmtId val="2"/>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DC4B9"/>
          </a:solidFill>
          <a:ln w="19050">
            <a:solidFill>
              <a:schemeClr val="lt1"/>
            </a:solidFill>
          </a:ln>
          <a:effectLst/>
        </c:spPr>
      </c:pivotFmt>
      <c:pivotFmt>
        <c:idx val="2"/>
        <c:spPr>
          <a:solidFill>
            <a:srgbClr val="F28285"/>
          </a:solidFill>
          <a:ln w="19050">
            <a:solidFill>
              <a:schemeClr val="lt1"/>
            </a:solidFill>
          </a:ln>
          <a:effectLst/>
        </c:spPr>
      </c:pivotFmt>
      <c:pivotFmt>
        <c:idx val="3"/>
        <c:spPr>
          <a:solidFill>
            <a:srgbClr val="FF0000"/>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28285"/>
          </a:solidFill>
          <a:ln w="19050">
            <a:solidFill>
              <a:schemeClr val="lt1"/>
            </a:solidFill>
          </a:ln>
          <a:effectLst/>
        </c:spPr>
      </c:pivotFmt>
      <c:pivotFmt>
        <c:idx val="6"/>
        <c:spPr>
          <a:solidFill>
            <a:srgbClr val="FF0000"/>
          </a:solidFill>
          <a:ln w="19050">
            <a:solidFill>
              <a:schemeClr val="lt1"/>
            </a:solidFill>
          </a:ln>
          <a:effectLst/>
        </c:spPr>
      </c:pivotFmt>
      <c:pivotFmt>
        <c:idx val="7"/>
        <c:spPr>
          <a:solidFill>
            <a:srgbClr val="FDC4B9"/>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9"/>
        <c:spPr>
          <a:solidFill>
            <a:srgbClr val="F28285"/>
          </a:solidFill>
          <a:ln w="19050">
            <a:solidFill>
              <a:schemeClr val="lt1"/>
            </a:solidFill>
          </a:ln>
          <a:effectLst/>
        </c:spPr>
      </c:pivotFmt>
      <c:pivotFmt>
        <c:idx val="10"/>
        <c:spPr>
          <a:solidFill>
            <a:srgbClr val="FF0000"/>
          </a:solidFill>
          <a:ln w="19050">
            <a:solidFill>
              <a:schemeClr val="lt1"/>
            </a:solidFill>
          </a:ln>
          <a:effectLst/>
        </c:spPr>
      </c:pivotFmt>
      <c:pivotFmt>
        <c:idx val="11"/>
        <c:spPr>
          <a:solidFill>
            <a:srgbClr val="FDC4B9"/>
          </a:solidFill>
          <a:ln w="19050">
            <a:solidFill>
              <a:schemeClr val="lt1"/>
            </a:solidFill>
          </a:ln>
          <a:effectLst/>
        </c:spPr>
      </c:pivotFmt>
    </c:pivotFmts>
    <c:plotArea>
      <c:layout/>
      <c:doughnutChart>
        <c:varyColors val="1"/>
        <c:ser>
          <c:idx val="0"/>
          <c:order val="0"/>
          <c:tx>
            <c:strRef>
              <c:f>Risk!$B$3</c:f>
              <c:strCache>
                <c:ptCount val="1"/>
                <c:pt idx="0">
                  <c:v>Total</c:v>
                </c:pt>
              </c:strCache>
            </c:strRef>
          </c:tx>
          <c:dPt>
            <c:idx val="0"/>
            <c:bubble3D val="0"/>
            <c:spPr>
              <a:solidFill>
                <a:srgbClr val="F28285"/>
              </a:solidFill>
              <a:ln w="19050">
                <a:solidFill>
                  <a:schemeClr val="lt1"/>
                </a:solidFill>
              </a:ln>
              <a:effectLst/>
            </c:spPr>
          </c:dPt>
          <c:dPt>
            <c:idx val="1"/>
            <c:bubble3D val="0"/>
            <c:spPr>
              <a:solidFill>
                <a:srgbClr val="FF0000"/>
              </a:solidFill>
              <a:ln w="19050">
                <a:solidFill>
                  <a:schemeClr val="lt1"/>
                </a:solidFill>
              </a:ln>
              <a:effectLst/>
            </c:spPr>
          </c:dPt>
          <c:dPt>
            <c:idx val="2"/>
            <c:bubble3D val="0"/>
            <c:spPr>
              <a:solidFill>
                <a:srgbClr val="FDC4B9"/>
              </a:solidFill>
              <a:ln w="19050">
                <a:solidFill>
                  <a:schemeClr val="lt1"/>
                </a:solid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Risk!$A$4:$A$7</c:f>
              <c:strCache>
                <c:ptCount val="3"/>
                <c:pt idx="0">
                  <c:v>18-39</c:v>
                </c:pt>
                <c:pt idx="1">
                  <c:v>40-59</c:v>
                </c:pt>
                <c:pt idx="2">
                  <c:v>60+</c:v>
                </c:pt>
              </c:strCache>
            </c:strRef>
          </c:cat>
          <c:val>
            <c:numRef>
              <c:f>Risk!$B$4:$B$7</c:f>
              <c:numCache>
                <c:formatCode>General</c:formatCode>
                <c:ptCount val="3"/>
                <c:pt idx="0">
                  <c:v>43</c:v>
                </c:pt>
                <c:pt idx="1">
                  <c:v>40</c:v>
                </c:pt>
                <c:pt idx="2">
                  <c:v>58</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20000"/>
        <a:lumOff val="80000"/>
      </a:schemeClr>
    </a:solidFill>
    <a:ln w="9525" cap="flat" cmpd="sng" algn="ctr">
      <a:solidFill>
        <a:srgbClr val="F8081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[global_cvd_burden_2021_2026_73_countries_1300_rows.csv.xlsx]Age!PivotTable7</c:name>
    <c:fmtId val="3"/>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DC4B9"/>
          </a:solidFill>
          <a:ln w="25400">
            <a:solidFill>
              <a:schemeClr val="lt1"/>
            </a:solidFill>
          </a:ln>
          <a:effectLst/>
          <a:sp3d contourW="25400">
            <a:contourClr>
              <a:schemeClr val="lt1"/>
            </a:contourClr>
          </a:sp3d>
        </c:spPr>
      </c:pivotFmt>
      <c:pivotFmt>
        <c:idx val="2"/>
        <c:spPr>
          <a:solidFill>
            <a:srgbClr val="FF5D5D"/>
          </a:solidFill>
          <a:ln w="25400">
            <a:solidFill>
              <a:schemeClr val="lt1"/>
            </a:solidFill>
          </a:ln>
          <a:effectLst/>
          <a:sp3d contourW="25400">
            <a:contourClr>
              <a:schemeClr val="lt1"/>
            </a:contourClr>
          </a:sp3d>
        </c:spPr>
      </c:pivotFmt>
      <c:pivotFmt>
        <c:idx val="3"/>
        <c:spPr>
          <a:solidFill>
            <a:srgbClr val="F9272C"/>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rgbClr val="FF5D5D"/>
          </a:solidFill>
          <a:ln w="25400">
            <a:solidFill>
              <a:schemeClr val="lt1"/>
            </a:solidFill>
          </a:ln>
          <a:effectLst/>
          <a:sp3d contourW="25400">
            <a:contourClr>
              <a:schemeClr val="lt1"/>
            </a:contourClr>
          </a:sp3d>
        </c:spPr>
      </c:pivotFmt>
      <c:pivotFmt>
        <c:idx val="6"/>
        <c:spPr>
          <a:solidFill>
            <a:srgbClr val="F9272C"/>
          </a:solidFill>
          <a:ln w="25400">
            <a:solidFill>
              <a:schemeClr val="lt1"/>
            </a:solidFill>
          </a:ln>
          <a:effectLst/>
          <a:sp3d contourW="25400">
            <a:contourClr>
              <a:schemeClr val="lt1"/>
            </a:contourClr>
          </a:sp3d>
        </c:spPr>
      </c:pivotFmt>
      <c:pivotFmt>
        <c:idx val="7"/>
        <c:spPr>
          <a:solidFill>
            <a:srgbClr val="FDC4B9"/>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ext>
          </c:extLst>
        </c:dLbl>
      </c:pivotFmt>
      <c:pivotFmt>
        <c:idx val="9"/>
        <c:spPr>
          <a:solidFill>
            <a:srgbClr val="FF5D5D"/>
          </a:solidFill>
          <a:ln w="25400">
            <a:solidFill>
              <a:schemeClr val="lt1"/>
            </a:solidFill>
          </a:ln>
          <a:effectLst/>
          <a:sp3d contourW="25400">
            <a:contourClr>
              <a:schemeClr val="lt1"/>
            </a:contourClr>
          </a:sp3d>
        </c:spPr>
      </c:pivotFmt>
      <c:pivotFmt>
        <c:idx val="10"/>
        <c:spPr>
          <a:solidFill>
            <a:srgbClr val="F9272C"/>
          </a:solidFill>
          <a:ln w="25400">
            <a:solidFill>
              <a:schemeClr val="lt1"/>
            </a:solidFill>
          </a:ln>
          <a:effectLst/>
          <a:sp3d contourW="25400">
            <a:contourClr>
              <a:schemeClr val="lt1"/>
            </a:contourClr>
          </a:sp3d>
        </c:spPr>
      </c:pivotFmt>
      <c:pivotFmt>
        <c:idx val="11"/>
        <c:spPr>
          <a:solidFill>
            <a:srgbClr val="FDC4B9"/>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Age!$B$3</c:f>
              <c:strCache>
                <c:ptCount val="1"/>
                <c:pt idx="0">
                  <c:v>Total</c:v>
                </c:pt>
              </c:strCache>
            </c:strRef>
          </c:tx>
          <c:dPt>
            <c:idx val="0"/>
            <c:bubble3D val="0"/>
            <c:spPr>
              <a:solidFill>
                <a:srgbClr val="FF5D5D"/>
              </a:solidFill>
              <a:ln w="25400">
                <a:solidFill>
                  <a:schemeClr val="lt1"/>
                </a:solidFill>
              </a:ln>
              <a:effectLst/>
              <a:sp3d contourW="25400">
                <a:contourClr>
                  <a:schemeClr val="lt1"/>
                </a:contourClr>
              </a:sp3d>
            </c:spPr>
          </c:dPt>
          <c:dPt>
            <c:idx val="1"/>
            <c:bubble3D val="0"/>
            <c:spPr>
              <a:solidFill>
                <a:srgbClr val="F9272C"/>
              </a:solidFill>
              <a:ln w="25400">
                <a:solidFill>
                  <a:schemeClr val="lt1"/>
                </a:solidFill>
              </a:ln>
              <a:effectLst/>
              <a:sp3d contourW="25400">
                <a:contourClr>
                  <a:schemeClr val="lt1"/>
                </a:contourClr>
              </a:sp3d>
            </c:spPr>
          </c:dPt>
          <c:dPt>
            <c:idx val="2"/>
            <c:bubble3D val="0"/>
            <c:spPr>
              <a:solidFill>
                <a:srgbClr val="FDC4B9"/>
              </a:solidFill>
              <a:ln w="25400">
                <a:solidFill>
                  <a:schemeClr val="lt1"/>
                </a:solidFill>
              </a:ln>
              <a:effectLst/>
              <a:sp3d contourW="25400">
                <a:contourClr>
                  <a:schemeClr val="lt1"/>
                </a:contourClr>
              </a:sp3d>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15:layout/>
              </c:ext>
            </c:extLst>
          </c:dLbls>
          <c:cat>
            <c:strRef>
              <c:f>Age!$A$4:$A$7</c:f>
              <c:strCache>
                <c:ptCount val="3"/>
                <c:pt idx="0">
                  <c:v>18-39</c:v>
                </c:pt>
                <c:pt idx="1">
                  <c:v>40-59</c:v>
                </c:pt>
                <c:pt idx="2">
                  <c:v>60+</c:v>
                </c:pt>
              </c:strCache>
            </c:strRef>
          </c:cat>
          <c:val>
            <c:numRef>
              <c:f>Age!$B$4:$B$7</c:f>
              <c:numCache>
                <c:formatCode>General</c:formatCode>
                <c:ptCount val="3"/>
                <c:pt idx="0">
                  <c:v>7473277977</c:v>
                </c:pt>
                <c:pt idx="1">
                  <c:v>6594037185</c:v>
                </c:pt>
                <c:pt idx="2">
                  <c:v>8213834905</c:v>
                </c:pt>
              </c:numCache>
            </c:numRef>
          </c:val>
        </c:ser>
        <c:dLbls>
          <c:showLegendKey val="0"/>
          <c:showVal val="0"/>
          <c:showCatName val="0"/>
          <c:showSerName val="0"/>
          <c:showPercent val="0"/>
          <c:showBubbleSize val="0"/>
          <c:showLeaderLines val="1"/>
        </c:dLbls>
      </c:pie3D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2">
        <a:lumMod val="20000"/>
        <a:lumOff val="80000"/>
      </a:schemeClr>
    </a:solidFill>
    <a:ln w="9525" cap="flat" cmpd="sng" algn="ctr">
      <a:solidFill>
        <a:srgbClr val="F8081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[global_cvd_burden_2021_2026_73_countries_1300_rows.csv.xlsx]Smoking!PivotTable9</c:name>
    <c:fmtId val="2"/>
  </c:pivotSource>
  <c:chart>
    <c:autoTitleDeleted val="1"/>
    <c:pivotFmts>
      <c:pivotFmt>
        <c:idx val="0"/>
        <c:spPr>
          <a:solidFill>
            <a:schemeClr val="accent1"/>
          </a:solidFill>
          <a:ln w="28575" cap="rnd">
            <a:solidFill>
              <a:srgbClr val="FF3300"/>
            </a:solidFill>
            <a:round/>
          </a:ln>
          <a:effectLst/>
        </c:spPr>
        <c:marker>
          <c:symbol val="none"/>
        </c:marker>
      </c:pivotFmt>
      <c:pivotFmt>
        <c:idx val="1"/>
        <c:spPr>
          <a:solidFill>
            <a:schemeClr val="accent1"/>
          </a:solidFill>
          <a:ln w="28575" cap="rnd">
            <a:solidFill>
              <a:srgbClr val="FF3300"/>
            </a:solidFill>
            <a:round/>
          </a:ln>
          <a:effectLst/>
        </c:spPr>
        <c:marker>
          <c:symbol val="none"/>
        </c:marker>
      </c:pivotFmt>
      <c:pivotFmt>
        <c:idx val="2"/>
        <c:spPr>
          <a:ln w="28575" cap="rnd">
            <a:solidFill>
              <a:srgbClr val="FF3300"/>
            </a:solidFill>
            <a:round/>
          </a:ln>
          <a:effectLst/>
        </c:spPr>
        <c:marker>
          <c:symbol val="none"/>
        </c:marker>
      </c:pivotFmt>
    </c:pivotFmts>
    <c:plotArea>
      <c:layout/>
      <c:lineChart>
        <c:grouping val="standard"/>
        <c:varyColors val="0"/>
        <c:ser>
          <c:idx val="0"/>
          <c:order val="0"/>
          <c:tx>
            <c:strRef>
              <c:f>Smoking!$B$3</c:f>
              <c:strCache>
                <c:ptCount val="1"/>
                <c:pt idx="0">
                  <c:v>Total</c:v>
                </c:pt>
              </c:strCache>
            </c:strRef>
          </c:tx>
          <c:spPr>
            <a:ln w="28575" cap="rnd">
              <a:solidFill>
                <a:srgbClr val="FF3300"/>
              </a:solidFill>
              <a:round/>
            </a:ln>
            <a:effectLst/>
          </c:spPr>
          <c:marker>
            <c:symbol val="none"/>
          </c:marker>
          <c:cat>
            <c:strRef>
              <c:f>Smoking!$A$4:$A$75</c:f>
              <c:strCache>
                <c:ptCount val="71"/>
                <c:pt idx="0">
                  <c:v>Algeria</c:v>
                </c:pt>
                <c:pt idx="1">
                  <c:v>Angola</c:v>
                </c:pt>
                <c:pt idx="2">
                  <c:v>Argentina</c:v>
                </c:pt>
                <c:pt idx="3">
                  <c:v>Australia</c:v>
                </c:pt>
                <c:pt idx="4">
                  <c:v>Austria</c:v>
                </c:pt>
                <c:pt idx="5">
                  <c:v>Bangladesh</c:v>
                </c:pt>
                <c:pt idx="6">
                  <c:v>Belgium</c:v>
                </c:pt>
                <c:pt idx="7">
                  <c:v>Botswana</c:v>
                </c:pt>
                <c:pt idx="8">
                  <c:v>Brazil</c:v>
                </c:pt>
                <c:pt idx="9">
                  <c:v>Bulgaria</c:v>
                </c:pt>
                <c:pt idx="10">
                  <c:v>Cameroon</c:v>
                </c:pt>
                <c:pt idx="11">
                  <c:v>Canada</c:v>
                </c:pt>
                <c:pt idx="12">
                  <c:v>Chile</c:v>
                </c:pt>
                <c:pt idx="13">
                  <c:v>China</c:v>
                </c:pt>
                <c:pt idx="14">
                  <c:v>Colombia</c:v>
                </c:pt>
                <c:pt idx="15">
                  <c:v>Czech Republic</c:v>
                </c:pt>
                <c:pt idx="16">
                  <c:v>Denmark</c:v>
                </c:pt>
                <c:pt idx="17">
                  <c:v>Egypt</c:v>
                </c:pt>
                <c:pt idx="18">
                  <c:v>Ethiopia</c:v>
                </c:pt>
                <c:pt idx="19">
                  <c:v>Finland</c:v>
                </c:pt>
                <c:pt idx="20">
                  <c:v>France</c:v>
                </c:pt>
                <c:pt idx="21">
                  <c:v>Germany</c:v>
                </c:pt>
                <c:pt idx="22">
                  <c:v>Ghana</c:v>
                </c:pt>
                <c:pt idx="23">
                  <c:v>Greece</c:v>
                </c:pt>
                <c:pt idx="24">
                  <c:v>Hungary</c:v>
                </c:pt>
                <c:pt idx="25">
                  <c:v>India</c:v>
                </c:pt>
                <c:pt idx="26">
                  <c:v>Indonesia</c:v>
                </c:pt>
                <c:pt idx="27">
                  <c:v>Israel</c:v>
                </c:pt>
                <c:pt idx="28">
                  <c:v>Italy</c:v>
                </c:pt>
                <c:pt idx="29">
                  <c:v>Ivory Coast</c:v>
                </c:pt>
                <c:pt idx="30">
                  <c:v>Japan</c:v>
                </c:pt>
                <c:pt idx="31">
                  <c:v>Kenya</c:v>
                </c:pt>
                <c:pt idx="32">
                  <c:v>Malaysia</c:v>
                </c:pt>
                <c:pt idx="33">
                  <c:v>Mexico</c:v>
                </c:pt>
                <c:pt idx="34">
                  <c:v>Morocco</c:v>
                </c:pt>
                <c:pt idx="35">
                  <c:v>Namibia</c:v>
                </c:pt>
                <c:pt idx="36">
                  <c:v>Netherlands</c:v>
                </c:pt>
                <c:pt idx="37">
                  <c:v>New Zealand</c:v>
                </c:pt>
                <c:pt idx="38">
                  <c:v>Nigeria</c:v>
                </c:pt>
                <c:pt idx="39">
                  <c:v>Norway</c:v>
                </c:pt>
                <c:pt idx="40">
                  <c:v>Pakistan</c:v>
                </c:pt>
                <c:pt idx="41">
                  <c:v>Peru</c:v>
                </c:pt>
                <c:pt idx="42">
                  <c:v>Philippines</c:v>
                </c:pt>
                <c:pt idx="43">
                  <c:v>Poland</c:v>
                </c:pt>
                <c:pt idx="44">
                  <c:v>Portugal</c:v>
                </c:pt>
                <c:pt idx="45">
                  <c:v>Qatar</c:v>
                </c:pt>
                <c:pt idx="46">
                  <c:v>Romania</c:v>
                </c:pt>
                <c:pt idx="47">
                  <c:v>Russia</c:v>
                </c:pt>
                <c:pt idx="48">
                  <c:v>Rwanda</c:v>
                </c:pt>
                <c:pt idx="49">
                  <c:v>Saudi Arabia</c:v>
                </c:pt>
                <c:pt idx="50">
                  <c:v>Senegal</c:v>
                </c:pt>
                <c:pt idx="51">
                  <c:v>Singapore</c:v>
                </c:pt>
                <c:pt idx="52">
                  <c:v>South Africa</c:v>
                </c:pt>
                <c:pt idx="53">
                  <c:v>South Korea</c:v>
                </c:pt>
                <c:pt idx="54">
                  <c:v>Spain</c:v>
                </c:pt>
                <c:pt idx="55">
                  <c:v>Sri Lanka</c:v>
                </c:pt>
                <c:pt idx="56">
                  <c:v>Sudan</c:v>
                </c:pt>
                <c:pt idx="57">
                  <c:v>Sweden</c:v>
                </c:pt>
                <c:pt idx="58">
                  <c:v>Switzerland</c:v>
                </c:pt>
                <c:pt idx="59">
                  <c:v>Tanzania</c:v>
                </c:pt>
                <c:pt idx="60">
                  <c:v>Thailand</c:v>
                </c:pt>
                <c:pt idx="61">
                  <c:v>Tunisia</c:v>
                </c:pt>
                <c:pt idx="62">
                  <c:v>Turkey</c:v>
                </c:pt>
                <c:pt idx="63">
                  <c:v>UAE</c:v>
                </c:pt>
                <c:pt idx="64">
                  <c:v>Uganda</c:v>
                </c:pt>
                <c:pt idx="65">
                  <c:v>UK</c:v>
                </c:pt>
                <c:pt idx="66">
                  <c:v>Ukraine</c:v>
                </c:pt>
                <c:pt idx="67">
                  <c:v>USA</c:v>
                </c:pt>
                <c:pt idx="68">
                  <c:v>Vietnam</c:v>
                </c:pt>
                <c:pt idx="69">
                  <c:v>Zambia</c:v>
                </c:pt>
                <c:pt idx="70">
                  <c:v>Zimbabwe</c:v>
                </c:pt>
              </c:strCache>
            </c:strRef>
          </c:cat>
          <c:val>
            <c:numRef>
              <c:f>Smoking!$B$4:$B$75</c:f>
              <c:numCache>
                <c:formatCode>General</c:formatCode>
                <c:ptCount val="71"/>
                <c:pt idx="0">
                  <c:v>54.870000000000005</c:v>
                </c:pt>
                <c:pt idx="1">
                  <c:v>55.75</c:v>
                </c:pt>
                <c:pt idx="2">
                  <c:v>62.519999999999996</c:v>
                </c:pt>
                <c:pt idx="3">
                  <c:v>54.77</c:v>
                </c:pt>
                <c:pt idx="4">
                  <c:v>71.680000000000007</c:v>
                </c:pt>
                <c:pt idx="5">
                  <c:v>48.85</c:v>
                </c:pt>
                <c:pt idx="6">
                  <c:v>77.23</c:v>
                </c:pt>
                <c:pt idx="7">
                  <c:v>57.910000000000004</c:v>
                </c:pt>
                <c:pt idx="8">
                  <c:v>52.45</c:v>
                </c:pt>
                <c:pt idx="9">
                  <c:v>40.209999999999994</c:v>
                </c:pt>
                <c:pt idx="10">
                  <c:v>55.599999999999994</c:v>
                </c:pt>
                <c:pt idx="11">
                  <c:v>53.47</c:v>
                </c:pt>
                <c:pt idx="12">
                  <c:v>52.93</c:v>
                </c:pt>
                <c:pt idx="13">
                  <c:v>47.76</c:v>
                </c:pt>
                <c:pt idx="14">
                  <c:v>62.379999999999995</c:v>
                </c:pt>
                <c:pt idx="15">
                  <c:v>55.35</c:v>
                </c:pt>
                <c:pt idx="16">
                  <c:v>36.629999999999995</c:v>
                </c:pt>
                <c:pt idx="17">
                  <c:v>68.14</c:v>
                </c:pt>
                <c:pt idx="18">
                  <c:v>49.53</c:v>
                </c:pt>
                <c:pt idx="19">
                  <c:v>70.900000000000006</c:v>
                </c:pt>
                <c:pt idx="20">
                  <c:v>72.12</c:v>
                </c:pt>
                <c:pt idx="21">
                  <c:v>55.3</c:v>
                </c:pt>
                <c:pt idx="22">
                  <c:v>53.04</c:v>
                </c:pt>
                <c:pt idx="23">
                  <c:v>65.72</c:v>
                </c:pt>
                <c:pt idx="24">
                  <c:v>46.64</c:v>
                </c:pt>
                <c:pt idx="25">
                  <c:v>69.84</c:v>
                </c:pt>
                <c:pt idx="26">
                  <c:v>39.239999999999995</c:v>
                </c:pt>
                <c:pt idx="27">
                  <c:v>73.570000000000007</c:v>
                </c:pt>
                <c:pt idx="28">
                  <c:v>65.080000000000013</c:v>
                </c:pt>
                <c:pt idx="29">
                  <c:v>72.44</c:v>
                </c:pt>
                <c:pt idx="30">
                  <c:v>78.34</c:v>
                </c:pt>
                <c:pt idx="31">
                  <c:v>68.22</c:v>
                </c:pt>
                <c:pt idx="32">
                  <c:v>62.959999999999994</c:v>
                </c:pt>
                <c:pt idx="33">
                  <c:v>47.73</c:v>
                </c:pt>
                <c:pt idx="34">
                  <c:v>50.79</c:v>
                </c:pt>
                <c:pt idx="35">
                  <c:v>49.42</c:v>
                </c:pt>
                <c:pt idx="36">
                  <c:v>79.77000000000001</c:v>
                </c:pt>
                <c:pt idx="37">
                  <c:v>55.959999999999994</c:v>
                </c:pt>
                <c:pt idx="38">
                  <c:v>52.79</c:v>
                </c:pt>
                <c:pt idx="39">
                  <c:v>51.75</c:v>
                </c:pt>
                <c:pt idx="40">
                  <c:v>56.769999999999996</c:v>
                </c:pt>
                <c:pt idx="41">
                  <c:v>82.76</c:v>
                </c:pt>
                <c:pt idx="42">
                  <c:v>49.39</c:v>
                </c:pt>
                <c:pt idx="43">
                  <c:v>61.36</c:v>
                </c:pt>
                <c:pt idx="44">
                  <c:v>52.989999999999995</c:v>
                </c:pt>
                <c:pt idx="45">
                  <c:v>50.120000000000005</c:v>
                </c:pt>
                <c:pt idx="46">
                  <c:v>68.72999999999999</c:v>
                </c:pt>
                <c:pt idx="47">
                  <c:v>55.14</c:v>
                </c:pt>
                <c:pt idx="48">
                  <c:v>51.17</c:v>
                </c:pt>
                <c:pt idx="49">
                  <c:v>62.800000000000004</c:v>
                </c:pt>
                <c:pt idx="50">
                  <c:v>53.89</c:v>
                </c:pt>
                <c:pt idx="51">
                  <c:v>48.68</c:v>
                </c:pt>
                <c:pt idx="52">
                  <c:v>70.19</c:v>
                </c:pt>
                <c:pt idx="53">
                  <c:v>71.39</c:v>
                </c:pt>
                <c:pt idx="54">
                  <c:v>73.990000000000009</c:v>
                </c:pt>
                <c:pt idx="55">
                  <c:v>57.089999999999996</c:v>
                </c:pt>
                <c:pt idx="56">
                  <c:v>47.63</c:v>
                </c:pt>
                <c:pt idx="57">
                  <c:v>58.3</c:v>
                </c:pt>
                <c:pt idx="58">
                  <c:v>49.72</c:v>
                </c:pt>
                <c:pt idx="59">
                  <c:v>68.17</c:v>
                </c:pt>
                <c:pt idx="60">
                  <c:v>55.83</c:v>
                </c:pt>
                <c:pt idx="61">
                  <c:v>63.949999999999996</c:v>
                </c:pt>
                <c:pt idx="62">
                  <c:v>51.07</c:v>
                </c:pt>
                <c:pt idx="63">
                  <c:v>55.17</c:v>
                </c:pt>
                <c:pt idx="64">
                  <c:v>51.099999999999994</c:v>
                </c:pt>
                <c:pt idx="65">
                  <c:v>60.61</c:v>
                </c:pt>
                <c:pt idx="66">
                  <c:v>77.099999999999994</c:v>
                </c:pt>
                <c:pt idx="67">
                  <c:v>63.95</c:v>
                </c:pt>
                <c:pt idx="68">
                  <c:v>50.63</c:v>
                </c:pt>
                <c:pt idx="69">
                  <c:v>53.78</c:v>
                </c:pt>
                <c:pt idx="70">
                  <c:v>51.980000000000004</c:v>
                </c:pt>
              </c:numCache>
            </c:numRef>
          </c:val>
          <c:smooth val="0"/>
        </c:ser>
        <c:dLbls>
          <c:showLegendKey val="0"/>
          <c:showVal val="0"/>
          <c:showCatName val="0"/>
          <c:showSerName val="0"/>
          <c:showPercent val="0"/>
          <c:showBubbleSize val="0"/>
        </c:dLbls>
        <c:smooth val="0"/>
        <c:axId val="269868112"/>
        <c:axId val="269864584"/>
      </c:lineChart>
      <c:catAx>
        <c:axId val="269868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864584"/>
        <c:crosses val="autoZero"/>
        <c:auto val="1"/>
        <c:lblAlgn val="ctr"/>
        <c:lblOffset val="100"/>
        <c:noMultiLvlLbl val="0"/>
      </c:catAx>
      <c:valAx>
        <c:axId val="2698645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868112"/>
        <c:crosses val="autoZero"/>
        <c:crossBetween val="between"/>
      </c:valAx>
      <c:spPr>
        <a:noFill/>
        <a:ln>
          <a:noFill/>
        </a:ln>
        <a:effectLst/>
      </c:spPr>
    </c:plotArea>
    <c:plotVisOnly val="1"/>
    <c:dispBlanksAs val="gap"/>
    <c:showDLblsOverMax val="0"/>
  </c:chart>
  <c:spPr>
    <a:solidFill>
      <a:schemeClr val="accent2">
        <a:lumMod val="20000"/>
        <a:lumOff val="80000"/>
      </a:schemeClr>
    </a:solidFill>
    <a:ln w="9525" cap="flat" cmpd="sng" algn="ctr">
      <a:solidFill>
        <a:srgbClr val="F8081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[global_cvd_burden_2021_2026_73_countries_1300_rows.csv.xlsx]Diabetes!PivotTable10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DC4B9"/>
          </a:solidFill>
          <a:ln>
            <a:noFill/>
          </a:ln>
          <a:effectLst/>
        </c:spPr>
      </c:pivotFmt>
      <c:pivotFmt>
        <c:idx val="2"/>
        <c:spPr>
          <a:solidFill>
            <a:srgbClr val="FF3300"/>
          </a:solidFill>
          <a:ln>
            <a:noFill/>
          </a:ln>
          <a:effectLst/>
        </c:spPr>
      </c:pivotFmt>
      <c:pivotFmt>
        <c:idx val="3"/>
        <c:spPr>
          <a:solidFill>
            <a:srgbClr val="F9272C"/>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DC4B9"/>
          </a:solidFill>
          <a:ln>
            <a:noFill/>
          </a:ln>
          <a:effectLst/>
        </c:spPr>
      </c:pivotFmt>
      <c:pivotFmt>
        <c:idx val="6"/>
        <c:spPr>
          <a:solidFill>
            <a:srgbClr val="FF3300"/>
          </a:solidFill>
          <a:ln>
            <a:noFill/>
          </a:ln>
          <a:effectLst/>
        </c:spPr>
      </c:pivotFmt>
      <c:pivotFmt>
        <c:idx val="7"/>
        <c:spPr>
          <a:solidFill>
            <a:srgbClr val="F9272C"/>
          </a:solidFill>
          <a:ln>
            <a:noFill/>
          </a:ln>
          <a:effectLst/>
        </c:spPr>
      </c:pivotFmt>
      <c:pivotFmt>
        <c:idx val="8"/>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FDC4B9"/>
          </a:solidFill>
          <a:ln>
            <a:noFill/>
          </a:ln>
          <a:effectLst/>
        </c:spPr>
      </c:pivotFmt>
      <c:pivotFmt>
        <c:idx val="10"/>
        <c:spPr>
          <a:solidFill>
            <a:srgbClr val="FF3300"/>
          </a:solidFill>
          <a:ln>
            <a:noFill/>
          </a:ln>
          <a:effectLst/>
        </c:spPr>
      </c:pivotFmt>
      <c:pivotFmt>
        <c:idx val="11"/>
        <c:spPr>
          <a:solidFill>
            <a:srgbClr val="F9272C"/>
          </a:solidFill>
          <a:ln>
            <a:noFill/>
          </a:ln>
          <a:effectLst/>
        </c:spPr>
      </c:pivotFmt>
    </c:pivotFmts>
    <c:plotArea>
      <c:layout/>
      <c:barChart>
        <c:barDir val="col"/>
        <c:grouping val="clustered"/>
        <c:varyColors val="0"/>
        <c:ser>
          <c:idx val="0"/>
          <c:order val="0"/>
          <c:tx>
            <c:strRef>
              <c:f>Diabetes!$B$3</c:f>
              <c:strCache>
                <c:ptCount val="1"/>
                <c:pt idx="0">
                  <c:v>Total</c:v>
                </c:pt>
              </c:strCache>
            </c:strRef>
          </c:tx>
          <c:spPr>
            <a:solidFill>
              <a:schemeClr val="accent1"/>
            </a:solidFill>
            <a:ln>
              <a:noFill/>
            </a:ln>
            <a:effectLst/>
          </c:spPr>
          <c:invertIfNegative val="0"/>
          <c:dPt>
            <c:idx val="0"/>
            <c:invertIfNegative val="0"/>
            <c:bubble3D val="0"/>
            <c:spPr>
              <a:solidFill>
                <a:srgbClr val="FDC4B9"/>
              </a:solidFill>
              <a:ln>
                <a:noFill/>
              </a:ln>
              <a:effectLst/>
            </c:spPr>
          </c:dPt>
          <c:dPt>
            <c:idx val="1"/>
            <c:invertIfNegative val="0"/>
            <c:bubble3D val="0"/>
            <c:spPr>
              <a:solidFill>
                <a:srgbClr val="FF3300"/>
              </a:solidFill>
              <a:ln>
                <a:noFill/>
              </a:ln>
              <a:effectLst/>
            </c:spPr>
          </c:dPt>
          <c:dPt>
            <c:idx val="2"/>
            <c:invertIfNegative val="0"/>
            <c:bubble3D val="0"/>
            <c:spPr>
              <a:solidFill>
                <a:srgbClr val="F9272C"/>
              </a:solidFill>
              <a:ln>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Diabetes!$A$4:$A$7</c:f>
              <c:strCache>
                <c:ptCount val="3"/>
                <c:pt idx="0">
                  <c:v>18-39</c:v>
                </c:pt>
                <c:pt idx="1">
                  <c:v>40-59</c:v>
                </c:pt>
                <c:pt idx="2">
                  <c:v>60+</c:v>
                </c:pt>
              </c:strCache>
            </c:strRef>
          </c:cat>
          <c:val>
            <c:numRef>
              <c:f>Diabetes!$B$4:$B$7</c:f>
              <c:numCache>
                <c:formatCode>General</c:formatCode>
                <c:ptCount val="3"/>
                <c:pt idx="0">
                  <c:v>729.62000000000023</c:v>
                </c:pt>
                <c:pt idx="1">
                  <c:v>704.74000000000012</c:v>
                </c:pt>
                <c:pt idx="2">
                  <c:v>697.09999999999991</c:v>
                </c:pt>
              </c:numCache>
            </c:numRef>
          </c:val>
        </c:ser>
        <c:dLbls>
          <c:dLblPos val="outEnd"/>
          <c:showLegendKey val="0"/>
          <c:showVal val="1"/>
          <c:showCatName val="0"/>
          <c:showSerName val="0"/>
          <c:showPercent val="0"/>
          <c:showBubbleSize val="0"/>
        </c:dLbls>
        <c:gapWidth val="219"/>
        <c:overlap val="-27"/>
        <c:axId val="269866544"/>
        <c:axId val="269864976"/>
      </c:barChart>
      <c:catAx>
        <c:axId val="26986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864976"/>
        <c:crosses val="autoZero"/>
        <c:auto val="1"/>
        <c:lblAlgn val="ctr"/>
        <c:lblOffset val="100"/>
        <c:noMultiLvlLbl val="0"/>
      </c:catAx>
      <c:valAx>
        <c:axId val="2698649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866544"/>
        <c:crosses val="autoZero"/>
        <c:crossBetween val="between"/>
      </c:valAx>
      <c:spPr>
        <a:noFill/>
        <a:ln>
          <a:noFill/>
        </a:ln>
        <a:effectLst/>
      </c:spPr>
    </c:plotArea>
    <c:plotVisOnly val="1"/>
    <c:dispBlanksAs val="gap"/>
    <c:showDLblsOverMax val="0"/>
  </c:chart>
  <c:spPr>
    <a:solidFill>
      <a:schemeClr val="accent2">
        <a:lumMod val="20000"/>
        <a:lumOff val="80000"/>
      </a:schemeClr>
    </a:solidFill>
    <a:ln w="9525" cap="flat" cmpd="sng" algn="ctr">
      <a:solidFill>
        <a:srgbClr val="F8081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[global_cvd_burden_2021_2026_73_countries_1300_rows.csv.xlsx]CVD!PivotTable13</c:name>
    <c:fmtId val="2"/>
  </c:pivotSource>
  <c:chart>
    <c:autoTitleDeleted val="1"/>
    <c:pivotFmts>
      <c:pivotFmt>
        <c:idx val="0"/>
        <c:spPr>
          <a:solidFill>
            <a:schemeClr val="accent1"/>
          </a:solidFill>
          <a:ln w="28575" cap="rnd">
            <a:solidFill>
              <a:srgbClr val="FF0000"/>
            </a:solidFill>
            <a:round/>
          </a:ln>
          <a:effectLst/>
        </c:spPr>
        <c:marker>
          <c:symbol val="none"/>
        </c:marker>
      </c:pivotFmt>
      <c:pivotFmt>
        <c:idx val="1"/>
        <c:spPr>
          <a:solidFill>
            <a:schemeClr val="accent1"/>
          </a:solidFill>
          <a:ln w="28575" cap="rnd">
            <a:solidFill>
              <a:srgbClr val="FF0000"/>
            </a:solidFill>
            <a:round/>
          </a:ln>
          <a:effectLst/>
        </c:spPr>
        <c:marker>
          <c:symbol val="none"/>
        </c:marker>
      </c:pivotFmt>
      <c:pivotFmt>
        <c:idx val="2"/>
        <c:spPr>
          <a:ln w="28575" cap="rnd">
            <a:solidFill>
              <a:srgbClr val="FF0000"/>
            </a:solidFill>
            <a:round/>
          </a:ln>
          <a:effectLst/>
        </c:spPr>
        <c:marker>
          <c:symbol val="none"/>
        </c:marker>
      </c:pivotFmt>
    </c:pivotFmts>
    <c:plotArea>
      <c:layout/>
      <c:radarChart>
        <c:radarStyle val="marker"/>
        <c:varyColors val="0"/>
        <c:ser>
          <c:idx val="0"/>
          <c:order val="0"/>
          <c:tx>
            <c:strRef>
              <c:f>CVD!$B$3</c:f>
              <c:strCache>
                <c:ptCount val="1"/>
                <c:pt idx="0">
                  <c:v>Total</c:v>
                </c:pt>
              </c:strCache>
            </c:strRef>
          </c:tx>
          <c:spPr>
            <a:ln w="28575" cap="rnd">
              <a:solidFill>
                <a:srgbClr val="FF0000"/>
              </a:solidFill>
              <a:round/>
            </a:ln>
            <a:effectLst/>
          </c:spPr>
          <c:marker>
            <c:symbol val="none"/>
          </c:marker>
          <c:cat>
            <c:strRef>
              <c:f>CVD!$A$4:$A$10</c:f>
              <c:strCache>
                <c:ptCount val="6"/>
                <c:pt idx="0">
                  <c:v>2021</c:v>
                </c:pt>
                <c:pt idx="1">
                  <c:v>2022</c:v>
                </c:pt>
                <c:pt idx="2">
                  <c:v>2023</c:v>
                </c:pt>
                <c:pt idx="3">
                  <c:v>2024</c:v>
                </c:pt>
                <c:pt idx="4">
                  <c:v>2025</c:v>
                </c:pt>
                <c:pt idx="5">
                  <c:v>2026</c:v>
                </c:pt>
              </c:strCache>
            </c:strRef>
          </c:cat>
          <c:val>
            <c:numRef>
              <c:f>CVD!$B$4:$B$10</c:f>
              <c:numCache>
                <c:formatCode>General</c:formatCode>
                <c:ptCount val="6"/>
                <c:pt idx="0">
                  <c:v>5444171</c:v>
                </c:pt>
                <c:pt idx="1">
                  <c:v>8787372</c:v>
                </c:pt>
                <c:pt idx="2">
                  <c:v>8532186</c:v>
                </c:pt>
                <c:pt idx="3">
                  <c:v>420392</c:v>
                </c:pt>
                <c:pt idx="4">
                  <c:v>2546895</c:v>
                </c:pt>
                <c:pt idx="5">
                  <c:v>10403663</c:v>
                </c:pt>
              </c:numCache>
            </c:numRef>
          </c:val>
        </c:ser>
        <c:dLbls>
          <c:showLegendKey val="0"/>
          <c:showVal val="0"/>
          <c:showCatName val="0"/>
          <c:showSerName val="0"/>
          <c:showPercent val="0"/>
          <c:showBubbleSize val="0"/>
        </c:dLbls>
        <c:axId val="269866936"/>
        <c:axId val="269867328"/>
      </c:radarChart>
      <c:catAx>
        <c:axId val="269866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867328"/>
        <c:crosses val="autoZero"/>
        <c:auto val="1"/>
        <c:lblAlgn val="ctr"/>
        <c:lblOffset val="100"/>
        <c:noMultiLvlLbl val="0"/>
      </c:catAx>
      <c:valAx>
        <c:axId val="269867328"/>
        <c:scaling>
          <c:orientation val="minMax"/>
        </c:scaling>
        <c:delete val="0"/>
        <c:axPos val="l"/>
        <c:majorGridlines>
          <c:spPr>
            <a:ln w="9525" cap="flat" cmpd="sng" algn="ctr">
              <a:solidFill>
                <a:schemeClr val="bg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866936"/>
        <c:crosses val="autoZero"/>
        <c:crossBetween val="between"/>
      </c:valAx>
      <c:spPr>
        <a:noFill/>
        <a:ln>
          <a:noFill/>
        </a:ln>
        <a:effectLst/>
      </c:spPr>
    </c:plotArea>
    <c:plotVisOnly val="1"/>
    <c:dispBlanksAs val="gap"/>
    <c:showDLblsOverMax val="0"/>
  </c:chart>
  <c:spPr>
    <a:solidFill>
      <a:schemeClr val="accent2">
        <a:lumMod val="20000"/>
        <a:lumOff val="80000"/>
      </a:schemeClr>
    </a:solidFill>
    <a:ln w="6350" cap="flat" cmpd="sng" algn="ctr">
      <a:solidFill>
        <a:srgbClr val="F80819">
          <a:alpha val="99000"/>
        </a:srgb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1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[global_cvd_burden_2021_2026_73_countries_1300_rows.csv.xlsx]Life!PivotTable11</c:name>
    <c:fmtId val="2"/>
  </c:pivotSource>
  <c:chart>
    <c:autoTitleDeleted val="1"/>
    <c:pivotFmts>
      <c:pivotFmt>
        <c:idx val="0"/>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FF3300"/>
          </a:solidFill>
          <a:ln>
            <a:noFill/>
          </a:ln>
          <a:effectLst/>
          <a:sp3d/>
        </c:spPr>
      </c:pivotFmt>
      <c:pivotFmt>
        <c:idx val="2"/>
        <c:spPr>
          <a:solidFill>
            <a:srgbClr val="FF3300"/>
          </a:solidFill>
          <a:ln>
            <a:noFill/>
          </a:ln>
          <a:effectLst/>
          <a:sp3d/>
        </c:spPr>
      </c:pivotFmt>
      <c:pivotFmt>
        <c:idx val="3"/>
        <c:spPr>
          <a:solidFill>
            <a:schemeClr val="accent1"/>
          </a:solidFill>
          <a:ln>
            <a:noFill/>
          </a:ln>
          <a:effectLst/>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FF3300"/>
          </a:solidFill>
          <a:ln>
            <a:noFill/>
          </a:ln>
          <a:effectLst/>
          <a:sp3d/>
        </c:spPr>
      </c:pivotFmt>
      <c:pivotFmt>
        <c:idx val="5"/>
        <c:spPr>
          <a:solidFill>
            <a:srgbClr val="FF3300"/>
          </a:solidFill>
          <a:ln>
            <a:noFill/>
          </a:ln>
          <a:effectLst/>
          <a:sp3d/>
        </c:spPr>
      </c:pivotFmt>
      <c:pivotFmt>
        <c:idx val="6"/>
        <c:spPr>
          <a:solidFill>
            <a:schemeClr val="accent1"/>
          </a:solidFill>
          <a:ln>
            <a:noFill/>
          </a:ln>
          <a:effectLst/>
          <a:sp3d/>
        </c:spPr>
        <c:marker>
          <c:symbol val="none"/>
        </c:marker>
      </c:pivotFmt>
      <c:pivotFmt>
        <c:idx val="7"/>
        <c:spPr>
          <a:solidFill>
            <a:srgbClr val="FF3300"/>
          </a:solidFill>
          <a:ln>
            <a:noFill/>
          </a:ln>
          <a:effectLst/>
          <a:sp3d/>
        </c:spPr>
      </c:pivotFmt>
      <c:pivotFmt>
        <c:idx val="8"/>
        <c:spPr>
          <a:solidFill>
            <a:srgbClr val="FF3300"/>
          </a:solidFill>
          <a:ln>
            <a:noFill/>
          </a:ln>
          <a:effectLst/>
          <a:sp3d/>
        </c:spPr>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Life!$B$3</c:f>
              <c:strCache>
                <c:ptCount val="1"/>
                <c:pt idx="0">
                  <c:v>Total</c:v>
                </c:pt>
              </c:strCache>
            </c:strRef>
          </c:tx>
          <c:spPr>
            <a:solidFill>
              <a:schemeClr val="accent1"/>
            </a:solidFill>
            <a:ln>
              <a:noFill/>
            </a:ln>
            <a:effectLst/>
            <a:sp3d/>
          </c:spPr>
          <c:dPt>
            <c:idx val="1"/>
            <c:bubble3D val="0"/>
            <c:spPr>
              <a:solidFill>
                <a:srgbClr val="FF3300"/>
              </a:solidFill>
              <a:ln>
                <a:noFill/>
              </a:ln>
              <a:effectLst/>
              <a:sp3d/>
            </c:spPr>
          </c:dPt>
          <c:dPt>
            <c:idx val="2"/>
            <c:bubble3D val="0"/>
            <c:spPr>
              <a:solidFill>
                <a:srgbClr val="FF3300"/>
              </a:solidFill>
              <a:ln>
                <a:noFill/>
              </a:ln>
              <a:effectLst/>
              <a:sp3d/>
            </c:spPr>
          </c:dPt>
          <c:cat>
            <c:strRef>
              <c:f>Life!$A$4:$A$7</c:f>
              <c:strCache>
                <c:ptCount val="3"/>
                <c:pt idx="0">
                  <c:v>18-39</c:v>
                </c:pt>
                <c:pt idx="1">
                  <c:v>40-59</c:v>
                </c:pt>
                <c:pt idx="2">
                  <c:v>60+</c:v>
                </c:pt>
              </c:strCache>
            </c:strRef>
          </c:cat>
          <c:val>
            <c:numRef>
              <c:f>Life!$B$4:$B$7</c:f>
              <c:numCache>
                <c:formatCode>General</c:formatCode>
                <c:ptCount val="3"/>
                <c:pt idx="0">
                  <c:v>77.3</c:v>
                </c:pt>
                <c:pt idx="1">
                  <c:v>66.400000000000006</c:v>
                </c:pt>
                <c:pt idx="2">
                  <c:v>74.3</c:v>
                </c:pt>
              </c:numCache>
            </c:numRef>
          </c:val>
          <c:smooth val="0"/>
        </c:ser>
        <c:dLbls>
          <c:showLegendKey val="0"/>
          <c:showVal val="0"/>
          <c:showCatName val="0"/>
          <c:showSerName val="0"/>
          <c:showPercent val="0"/>
          <c:showBubbleSize val="0"/>
        </c:dLbls>
        <c:axId val="269869288"/>
        <c:axId val="269869680"/>
        <c:axId val="271593816"/>
      </c:line3DChart>
      <c:catAx>
        <c:axId val="2698692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869680"/>
        <c:crosses val="autoZero"/>
        <c:auto val="1"/>
        <c:lblAlgn val="ctr"/>
        <c:lblOffset val="100"/>
        <c:noMultiLvlLbl val="0"/>
      </c:catAx>
      <c:valAx>
        <c:axId val="2698696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869288"/>
        <c:crosses val="autoZero"/>
        <c:crossBetween val="between"/>
      </c:valAx>
      <c:serAx>
        <c:axId val="271593816"/>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869680"/>
        <c:crosses val="autoZero"/>
      </c:serAx>
      <c:spPr>
        <a:noFill/>
        <a:ln>
          <a:noFill/>
        </a:ln>
        <a:effectLst/>
      </c:spPr>
    </c:plotArea>
    <c:plotVisOnly val="1"/>
    <c:dispBlanksAs val="gap"/>
    <c:showDLblsOverMax val="0"/>
  </c:chart>
  <c:spPr>
    <a:solidFill>
      <a:schemeClr val="accent2">
        <a:lumMod val="20000"/>
        <a:lumOff val="80000"/>
      </a:schemeClr>
    </a:solidFill>
    <a:ln w="9525" cap="flat" cmpd="sng" algn="ctr">
      <a:solidFill>
        <a:srgbClr val="F8081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hart2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[global_cvd_burden_2021_2026_73_countries_1300_rows.csv.xlsx]Health!PivotTable12</c:name>
    <c:fmtId val="2"/>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DC4B9"/>
          </a:solidFill>
          <a:ln>
            <a:noFill/>
          </a:ln>
          <a:effectLst/>
          <a:sp3d/>
        </c:spPr>
      </c:pivotFmt>
      <c:pivotFmt>
        <c:idx val="2"/>
        <c:spPr>
          <a:solidFill>
            <a:srgbClr val="F47C68"/>
          </a:solidFill>
          <a:ln>
            <a:noFill/>
          </a:ln>
          <a:effectLst/>
          <a:sp3d/>
        </c:spPr>
      </c:pivotFmt>
      <c:pivotFmt>
        <c:idx val="3"/>
        <c:spPr>
          <a:solidFill>
            <a:srgbClr val="F28285"/>
          </a:solidFill>
          <a:ln>
            <a:noFill/>
          </a:ln>
          <a:effectLst/>
          <a:sp3d/>
        </c:spPr>
      </c:pivotFmt>
      <c:pivotFmt>
        <c:idx val="4"/>
        <c:spPr>
          <a:solidFill>
            <a:srgbClr val="F9272C"/>
          </a:solidFill>
          <a:ln>
            <a:noFill/>
          </a:ln>
          <a:effectLst/>
          <a:sp3d/>
        </c:spPr>
      </c:pivotFmt>
      <c:pivotFmt>
        <c:idx val="5"/>
        <c:spPr>
          <a:solidFill>
            <a:srgbClr val="F9272C"/>
          </a:solidFill>
          <a:ln>
            <a:noFill/>
          </a:ln>
          <a:effectLst/>
          <a:sp3d/>
        </c:spPr>
      </c:pivotFmt>
      <c:pivotFmt>
        <c:idx val="6"/>
        <c:spPr>
          <a:solidFill>
            <a:srgbClr val="FF0000"/>
          </a:solidFill>
          <a:ln>
            <a:noFill/>
          </a:ln>
          <a:effectLst/>
          <a:sp3d/>
        </c:spPr>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DC4B9"/>
          </a:solidFill>
          <a:ln>
            <a:noFill/>
          </a:ln>
          <a:effectLst/>
          <a:sp3d/>
        </c:spPr>
      </c:pivotFmt>
      <c:pivotFmt>
        <c:idx val="9"/>
        <c:spPr>
          <a:solidFill>
            <a:srgbClr val="F47C68"/>
          </a:solidFill>
          <a:ln>
            <a:noFill/>
          </a:ln>
          <a:effectLst/>
          <a:sp3d/>
        </c:spPr>
      </c:pivotFmt>
      <c:pivotFmt>
        <c:idx val="10"/>
        <c:spPr>
          <a:solidFill>
            <a:srgbClr val="F28285"/>
          </a:solidFill>
          <a:ln>
            <a:noFill/>
          </a:ln>
          <a:effectLst/>
          <a:sp3d/>
        </c:spPr>
      </c:pivotFmt>
      <c:pivotFmt>
        <c:idx val="11"/>
        <c:spPr>
          <a:solidFill>
            <a:srgbClr val="F9272C"/>
          </a:solidFill>
          <a:ln>
            <a:noFill/>
          </a:ln>
          <a:effectLst/>
          <a:sp3d/>
        </c:spPr>
      </c:pivotFmt>
      <c:pivotFmt>
        <c:idx val="12"/>
        <c:spPr>
          <a:solidFill>
            <a:srgbClr val="F9272C"/>
          </a:solidFill>
          <a:ln>
            <a:noFill/>
          </a:ln>
          <a:effectLst/>
          <a:sp3d/>
        </c:spPr>
      </c:pivotFmt>
      <c:pivotFmt>
        <c:idx val="13"/>
        <c:spPr>
          <a:solidFill>
            <a:srgbClr val="FF0000"/>
          </a:solidFill>
          <a:ln>
            <a:noFill/>
          </a:ln>
          <a:effectLst/>
          <a:sp3d/>
        </c:spPr>
      </c:pivotFmt>
      <c:pivotFmt>
        <c:idx val="14"/>
        <c:spPr>
          <a:solidFill>
            <a:schemeClr val="accent1"/>
          </a:solidFill>
          <a:ln>
            <a:noFill/>
          </a:ln>
          <a:effectLs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rgbClr val="FDC4B9"/>
          </a:solidFill>
          <a:ln>
            <a:noFill/>
          </a:ln>
          <a:effectLst/>
          <a:sp3d/>
        </c:spPr>
      </c:pivotFmt>
      <c:pivotFmt>
        <c:idx val="16"/>
        <c:spPr>
          <a:solidFill>
            <a:srgbClr val="F47C68"/>
          </a:solidFill>
          <a:ln>
            <a:noFill/>
          </a:ln>
          <a:effectLst/>
          <a:sp3d/>
        </c:spPr>
      </c:pivotFmt>
      <c:pivotFmt>
        <c:idx val="17"/>
        <c:spPr>
          <a:solidFill>
            <a:srgbClr val="F28285"/>
          </a:solidFill>
          <a:ln>
            <a:noFill/>
          </a:ln>
          <a:effectLst/>
          <a:sp3d/>
        </c:spPr>
      </c:pivotFmt>
      <c:pivotFmt>
        <c:idx val="18"/>
        <c:spPr>
          <a:solidFill>
            <a:srgbClr val="F9272C"/>
          </a:solidFill>
          <a:ln>
            <a:noFill/>
          </a:ln>
          <a:effectLst/>
          <a:sp3d/>
        </c:spPr>
      </c:pivotFmt>
      <c:pivotFmt>
        <c:idx val="19"/>
        <c:spPr>
          <a:solidFill>
            <a:srgbClr val="F9272C"/>
          </a:solidFill>
          <a:ln>
            <a:noFill/>
          </a:ln>
          <a:effectLst/>
          <a:sp3d/>
        </c:spPr>
      </c:pivotFmt>
      <c:pivotFmt>
        <c:idx val="20"/>
        <c:spPr>
          <a:solidFill>
            <a:srgbClr val="FF0000"/>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Health!$B$3</c:f>
              <c:strCache>
                <c:ptCount val="1"/>
                <c:pt idx="0">
                  <c:v>Total</c:v>
                </c:pt>
              </c:strCache>
            </c:strRef>
          </c:tx>
          <c:spPr>
            <a:solidFill>
              <a:schemeClr val="accent1"/>
            </a:solidFill>
            <a:ln>
              <a:noFill/>
            </a:ln>
            <a:effectLst/>
            <a:sp3d/>
          </c:spPr>
          <c:invertIfNegative val="0"/>
          <c:dPt>
            <c:idx val="0"/>
            <c:invertIfNegative val="0"/>
            <c:bubble3D val="0"/>
            <c:spPr>
              <a:solidFill>
                <a:srgbClr val="FDC4B9"/>
              </a:solidFill>
              <a:ln>
                <a:noFill/>
              </a:ln>
              <a:effectLst/>
              <a:sp3d/>
            </c:spPr>
          </c:dPt>
          <c:dPt>
            <c:idx val="1"/>
            <c:invertIfNegative val="0"/>
            <c:bubble3D val="0"/>
            <c:spPr>
              <a:solidFill>
                <a:srgbClr val="F47C68"/>
              </a:solidFill>
              <a:ln>
                <a:noFill/>
              </a:ln>
              <a:effectLst/>
              <a:sp3d/>
            </c:spPr>
          </c:dPt>
          <c:dPt>
            <c:idx val="2"/>
            <c:invertIfNegative val="0"/>
            <c:bubble3D val="0"/>
            <c:spPr>
              <a:solidFill>
                <a:srgbClr val="F28285"/>
              </a:solidFill>
              <a:ln>
                <a:noFill/>
              </a:ln>
              <a:effectLst/>
              <a:sp3d/>
            </c:spPr>
          </c:dPt>
          <c:dPt>
            <c:idx val="3"/>
            <c:invertIfNegative val="0"/>
            <c:bubble3D val="0"/>
            <c:spPr>
              <a:solidFill>
                <a:srgbClr val="F9272C"/>
              </a:solidFill>
              <a:ln>
                <a:noFill/>
              </a:ln>
              <a:effectLst/>
              <a:sp3d/>
            </c:spPr>
          </c:dPt>
          <c:dPt>
            <c:idx val="4"/>
            <c:invertIfNegative val="0"/>
            <c:bubble3D val="0"/>
            <c:spPr>
              <a:solidFill>
                <a:srgbClr val="F9272C"/>
              </a:solidFill>
              <a:ln>
                <a:noFill/>
              </a:ln>
              <a:effectLst/>
              <a:sp3d/>
            </c:spPr>
          </c:dPt>
          <c:dPt>
            <c:idx val="5"/>
            <c:invertIfNegative val="0"/>
            <c:bubble3D val="0"/>
            <c:spPr>
              <a:solidFill>
                <a:srgbClr val="FF0000"/>
              </a:solidFill>
              <a:ln>
                <a:noFill/>
              </a:ln>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Health!$A$4:$A$10</c:f>
              <c:strCache>
                <c:ptCount val="6"/>
                <c:pt idx="0">
                  <c:v>Africa</c:v>
                </c:pt>
                <c:pt idx="1">
                  <c:v>Asia</c:v>
                </c:pt>
                <c:pt idx="2">
                  <c:v>Europe</c:v>
                </c:pt>
                <c:pt idx="3">
                  <c:v>North America</c:v>
                </c:pt>
                <c:pt idx="4">
                  <c:v>Oceania</c:v>
                </c:pt>
                <c:pt idx="5">
                  <c:v>South America</c:v>
                </c:pt>
              </c:strCache>
            </c:strRef>
          </c:cat>
          <c:val>
            <c:numRef>
              <c:f>Health!$B$4:$B$10</c:f>
              <c:numCache>
                <c:formatCode>General</c:formatCode>
                <c:ptCount val="6"/>
                <c:pt idx="0">
                  <c:v>1524.15</c:v>
                </c:pt>
                <c:pt idx="1">
                  <c:v>9851.07</c:v>
                </c:pt>
                <c:pt idx="2">
                  <c:v>7118.5</c:v>
                </c:pt>
                <c:pt idx="3">
                  <c:v>816.93</c:v>
                </c:pt>
                <c:pt idx="4">
                  <c:v>3199.32</c:v>
                </c:pt>
                <c:pt idx="5">
                  <c:v>3101.85</c:v>
                </c:pt>
              </c:numCache>
            </c:numRef>
          </c:val>
        </c:ser>
        <c:dLbls>
          <c:showLegendKey val="0"/>
          <c:showVal val="1"/>
          <c:showCatName val="0"/>
          <c:showSerName val="0"/>
          <c:showPercent val="0"/>
          <c:showBubbleSize val="0"/>
        </c:dLbls>
        <c:gapWidth val="150"/>
        <c:shape val="box"/>
        <c:axId val="273148912"/>
        <c:axId val="273148128"/>
        <c:axId val="0"/>
      </c:bar3DChart>
      <c:catAx>
        <c:axId val="27314891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148128"/>
        <c:crosses val="autoZero"/>
        <c:auto val="1"/>
        <c:lblAlgn val="ctr"/>
        <c:lblOffset val="100"/>
        <c:noMultiLvlLbl val="0"/>
      </c:catAx>
      <c:valAx>
        <c:axId val="2731481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3148912"/>
        <c:crosses val="autoZero"/>
        <c:crossBetween val="between"/>
      </c:valAx>
      <c:spPr>
        <a:noFill/>
        <a:ln>
          <a:noFill/>
        </a:ln>
        <a:effectLst/>
      </c:spPr>
    </c:plotArea>
    <c:plotVisOnly val="1"/>
    <c:dispBlanksAs val="gap"/>
    <c:showDLblsOverMax val="0"/>
  </c:chart>
  <c:spPr>
    <a:solidFill>
      <a:schemeClr val="accent2">
        <a:lumMod val="20000"/>
        <a:lumOff val="80000"/>
      </a:schemeClr>
    </a:solidFill>
    <a:ln w="9525" cap="flat" cmpd="sng" algn="ctr">
      <a:solidFill>
        <a:srgbClr val="F80819"/>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xml"/></Relationships>
</file>

<file path=xl/drawings/_rels/drawing7.xml.rels><?xml version="1.0" encoding="UTF-8" standalone="yes"?>
<Relationships xmlns="http://schemas.openxmlformats.org/package/2006/relationships"><Relationship Id="rId1" Type="http://schemas.openxmlformats.org/officeDocument/2006/relationships/chart" Target="../charts/chart8.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hyperlink" Target="#TABLE!K18"/><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hyperlink" Target="#TABLE!M12"/><Relationship Id="rId17" Type="http://schemas.openxmlformats.org/officeDocument/2006/relationships/image" Target="../media/image3.jpeg"/><Relationship Id="rId2" Type="http://schemas.openxmlformats.org/officeDocument/2006/relationships/chart" Target="../charts/chart11.xml"/><Relationship Id="rId16" Type="http://schemas.openxmlformats.org/officeDocument/2006/relationships/hyperlink" Target="#global_cvd_burden!A1"/><Relationship Id="rId1" Type="http://schemas.openxmlformats.org/officeDocument/2006/relationships/image" Target="../media/image2.jpeg"/><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5" Type="http://schemas.openxmlformats.org/officeDocument/2006/relationships/hyperlink" Target="#TABLE!N18"/><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hyperlink" Target="#TABLE!K3"/></Relationships>
</file>

<file path=xl/drawings/drawing1.xml><?xml version="1.0" encoding="utf-8"?>
<xdr:wsDr xmlns:xdr="http://schemas.openxmlformats.org/drawingml/2006/spreadsheetDrawing" xmlns:a="http://schemas.openxmlformats.org/drawingml/2006/main">
  <xdr:twoCellAnchor>
    <xdr:from>
      <xdr:col>2</xdr:col>
      <xdr:colOff>423862</xdr:colOff>
      <xdr:row>4</xdr:row>
      <xdr:rowOff>4762</xdr:rowOff>
    </xdr:from>
    <xdr:to>
      <xdr:col>8</xdr:col>
      <xdr:colOff>419100</xdr:colOff>
      <xdr:row>16</xdr:row>
      <xdr:rowOff>142875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11</xdr:row>
      <xdr:rowOff>71437</xdr:rowOff>
    </xdr:from>
    <xdr:to>
      <xdr:col>3</xdr:col>
      <xdr:colOff>661988</xdr:colOff>
      <xdr:row>24</xdr:row>
      <xdr:rowOff>171450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838200</xdr:colOff>
      <xdr:row>11</xdr:row>
      <xdr:rowOff>71437</xdr:rowOff>
    </xdr:from>
    <xdr:to>
      <xdr:col>8</xdr:col>
      <xdr:colOff>28575</xdr:colOff>
      <xdr:row>24</xdr:row>
      <xdr:rowOff>9525</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300037</xdr:colOff>
      <xdr:row>1</xdr:row>
      <xdr:rowOff>138112</xdr:rowOff>
    </xdr:from>
    <xdr:to>
      <xdr:col>8</xdr:col>
      <xdr:colOff>142875</xdr:colOff>
      <xdr:row>14</xdr:row>
      <xdr:rowOff>57150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209550</xdr:colOff>
      <xdr:row>7</xdr:row>
      <xdr:rowOff>138112</xdr:rowOff>
    </xdr:from>
    <xdr:to>
      <xdr:col>3</xdr:col>
      <xdr:colOff>476250</xdr:colOff>
      <xdr:row>20</xdr:row>
      <xdr:rowOff>28575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176212</xdr:colOff>
      <xdr:row>4</xdr:row>
      <xdr:rowOff>4762</xdr:rowOff>
    </xdr:from>
    <xdr:to>
      <xdr:col>8</xdr:col>
      <xdr:colOff>561975</xdr:colOff>
      <xdr:row>17</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576262</xdr:colOff>
      <xdr:row>4</xdr:row>
      <xdr:rowOff>4762</xdr:rowOff>
    </xdr:from>
    <xdr:to>
      <xdr:col>8</xdr:col>
      <xdr:colOff>438150</xdr:colOff>
      <xdr:row>16</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61912</xdr:colOff>
      <xdr:row>8</xdr:row>
      <xdr:rowOff>4762</xdr:rowOff>
    </xdr:from>
    <xdr:to>
      <xdr:col>4</xdr:col>
      <xdr:colOff>142875</xdr:colOff>
      <xdr:row>20</xdr:row>
      <xdr:rowOff>152400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204786</xdr:colOff>
      <xdr:row>0</xdr:row>
      <xdr:rowOff>0</xdr:rowOff>
    </xdr:from>
    <xdr:to>
      <xdr:col>7</xdr:col>
      <xdr:colOff>533399</xdr:colOff>
      <xdr:row>12</xdr:row>
      <xdr:rowOff>109538</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376237</xdr:colOff>
      <xdr:row>4</xdr:row>
      <xdr:rowOff>4762</xdr:rowOff>
    </xdr:from>
    <xdr:to>
      <xdr:col>9</xdr:col>
      <xdr:colOff>147637</xdr:colOff>
      <xdr:row>19</xdr:row>
      <xdr:rowOff>33337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28575</xdr:colOff>
      <xdr:row>2</xdr:row>
      <xdr:rowOff>9525</xdr:rowOff>
    </xdr:from>
    <xdr:to>
      <xdr:col>4</xdr:col>
      <xdr:colOff>485775</xdr:colOff>
      <xdr:row>12</xdr:row>
      <xdr:rowOff>152400</xdr:rowOff>
    </xdr:to>
    <mc:AlternateContent xmlns:mc="http://schemas.openxmlformats.org/markup-compatibility/2006" xmlns:a14="http://schemas.microsoft.com/office/drawing/2010/main">
      <mc:Choice Requires="a14">
        <xdr:graphicFrame macro="">
          <xdr:nvGraphicFramePr>
            <xdr:cNvPr id="2" name="Yea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714500" y="371475"/>
              <a:ext cx="1828800" cy="1952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0</xdr:col>
      <xdr:colOff>47624</xdr:colOff>
      <xdr:row>0</xdr:row>
      <xdr:rowOff>57150</xdr:rowOff>
    </xdr:from>
    <xdr:to>
      <xdr:col>18</xdr:col>
      <xdr:colOff>685799</xdr:colOff>
      <xdr:row>3</xdr:row>
      <xdr:rowOff>114300</xdr:rowOff>
    </xdr:to>
    <xdr:sp macro="" textlink="">
      <xdr:nvSpPr>
        <xdr:cNvPr id="2" name="Rounded Rectangle 1"/>
        <xdr:cNvSpPr/>
      </xdr:nvSpPr>
      <xdr:spPr>
        <a:xfrm>
          <a:off x="47624" y="57150"/>
          <a:ext cx="12982575" cy="600075"/>
        </a:xfrm>
        <a:prstGeom prst="roundRect">
          <a:avLst/>
        </a:prstGeom>
        <a:solidFill>
          <a:srgbClr val="F8081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b="1"/>
            <a:t>                      </a:t>
          </a:r>
          <a:r>
            <a:rPr lang="en-IN" sz="2400" b="1" baseline="0"/>
            <a:t> </a:t>
          </a:r>
          <a:r>
            <a:rPr lang="en-IN" sz="2800" b="1"/>
            <a:t>GLOBAL CVD DASHBOARD</a:t>
          </a:r>
        </a:p>
      </xdr:txBody>
    </xdr:sp>
    <xdr:clientData/>
  </xdr:twoCellAnchor>
  <xdr:twoCellAnchor editAs="oneCell">
    <xdr:from>
      <xdr:col>5</xdr:col>
      <xdr:colOff>285750</xdr:colOff>
      <xdr:row>0</xdr:row>
      <xdr:rowOff>9524</xdr:rowOff>
    </xdr:from>
    <xdr:to>
      <xdr:col>6</xdr:col>
      <xdr:colOff>247649</xdr:colOff>
      <xdr:row>3</xdr:row>
      <xdr:rowOff>114298</xdr:rowOff>
    </xdr:to>
    <xdr:pic>
      <xdr:nvPicPr>
        <xdr:cNvPr id="3" name="Picture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714750" y="9524"/>
          <a:ext cx="647699" cy="647699"/>
        </a:xfrm>
        <a:prstGeom prst="rect">
          <a:avLst/>
        </a:prstGeom>
        <a:ln>
          <a:noFill/>
        </a:ln>
        <a:effectLst>
          <a:softEdge rad="112500"/>
        </a:effectLst>
      </xdr:spPr>
    </xdr:pic>
    <xdr:clientData/>
  </xdr:twoCellAnchor>
  <xdr:twoCellAnchor>
    <xdr:from>
      <xdr:col>0</xdr:col>
      <xdr:colOff>9525</xdr:colOff>
      <xdr:row>4</xdr:row>
      <xdr:rowOff>0</xdr:rowOff>
    </xdr:from>
    <xdr:to>
      <xdr:col>4</xdr:col>
      <xdr:colOff>266700</xdr:colOff>
      <xdr:row>14</xdr:row>
      <xdr:rowOff>47625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333376</xdr:colOff>
      <xdr:row>3</xdr:row>
      <xdr:rowOff>171450</xdr:rowOff>
    </xdr:from>
    <xdr:to>
      <xdr:col>9</xdr:col>
      <xdr:colOff>352425</xdr:colOff>
      <xdr:row>14</xdr:row>
      <xdr:rowOff>57150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28575</xdr:colOff>
      <xdr:row>24</xdr:row>
      <xdr:rowOff>142875</xdr:rowOff>
    </xdr:from>
    <xdr:to>
      <xdr:col>14</xdr:col>
      <xdr:colOff>647700</xdr:colOff>
      <xdr:row>35</xdr:row>
      <xdr:rowOff>9525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438151</xdr:colOff>
      <xdr:row>4</xdr:row>
      <xdr:rowOff>1</xdr:rowOff>
    </xdr:from>
    <xdr:to>
      <xdr:col>14</xdr:col>
      <xdr:colOff>28575</xdr:colOff>
      <xdr:row>14</xdr:row>
      <xdr:rowOff>66675</xdr:rowOff>
    </xdr:to>
    <xdr:graphicFrame macro="">
      <xdr:nvGraphicFramePr>
        <xdr:cNvPr id="8" name="Chart 7"/>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14</xdr:row>
      <xdr:rowOff>133351</xdr:rowOff>
    </xdr:from>
    <xdr:to>
      <xdr:col>4</xdr:col>
      <xdr:colOff>247650</xdr:colOff>
      <xdr:row>24</xdr:row>
      <xdr:rowOff>9525</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352426</xdr:colOff>
      <xdr:row>14</xdr:row>
      <xdr:rowOff>123825</xdr:rowOff>
    </xdr:from>
    <xdr:to>
      <xdr:col>10</xdr:col>
      <xdr:colOff>238126</xdr:colOff>
      <xdr:row>24</xdr:row>
      <xdr:rowOff>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304800</xdr:colOff>
      <xdr:row>14</xdr:row>
      <xdr:rowOff>133350</xdr:rowOff>
    </xdr:from>
    <xdr:to>
      <xdr:col>14</xdr:col>
      <xdr:colOff>619125</xdr:colOff>
      <xdr:row>24</xdr:row>
      <xdr:rowOff>0</xdr:rowOff>
    </xdr:to>
    <xdr:graphicFrame macro="">
      <xdr:nvGraphicFramePr>
        <xdr:cNvPr id="11" name="Chart 1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676276</xdr:colOff>
      <xdr:row>14</xdr:row>
      <xdr:rowOff>123824</xdr:rowOff>
    </xdr:from>
    <xdr:to>
      <xdr:col>19</xdr:col>
      <xdr:colOff>9526</xdr:colOff>
      <xdr:row>24</xdr:row>
      <xdr:rowOff>9525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24</xdr:row>
      <xdr:rowOff>123825</xdr:rowOff>
    </xdr:from>
    <xdr:to>
      <xdr:col>4</xdr:col>
      <xdr:colOff>285750</xdr:colOff>
      <xdr:row>35</xdr:row>
      <xdr:rowOff>9525</xdr:rowOff>
    </xdr:to>
    <xdr:graphicFrame macro="">
      <xdr:nvGraphicFramePr>
        <xdr:cNvPr id="13" name="Chart 1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342900</xdr:colOff>
      <xdr:row>24</xdr:row>
      <xdr:rowOff>133350</xdr:rowOff>
    </xdr:from>
    <xdr:to>
      <xdr:col>9</xdr:col>
      <xdr:colOff>647700</xdr:colOff>
      <xdr:row>35</xdr:row>
      <xdr:rowOff>28575</xdr:rowOff>
    </xdr:to>
    <xdr:graphicFrame macro="">
      <xdr:nvGraphicFramePr>
        <xdr:cNvPr id="14" name="Chart 1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114300</xdr:colOff>
      <xdr:row>4</xdr:row>
      <xdr:rowOff>0</xdr:rowOff>
    </xdr:from>
    <xdr:to>
      <xdr:col>16</xdr:col>
      <xdr:colOff>361950</xdr:colOff>
      <xdr:row>6</xdr:row>
      <xdr:rowOff>28575</xdr:rowOff>
    </xdr:to>
    <xdr:sp macro="" textlink="">
      <xdr:nvSpPr>
        <xdr:cNvPr id="4" name="Rounded Rectangle 3">
          <a:hlinkClick xmlns:r="http://schemas.openxmlformats.org/officeDocument/2006/relationships" r:id="rId12"/>
        </xdr:cNvPr>
        <xdr:cNvSpPr/>
      </xdr:nvSpPr>
      <xdr:spPr>
        <a:xfrm>
          <a:off x="9715500" y="723900"/>
          <a:ext cx="1619250" cy="390525"/>
        </a:xfrm>
        <a:prstGeom prst="roundRect">
          <a:avLst/>
        </a:prstGeom>
        <a:solidFill>
          <a:srgbClr val="FDC4B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1">
              <a:solidFill>
                <a:srgbClr val="FF0000"/>
              </a:solidFill>
              <a:latin typeface="+mn-lt"/>
              <a:ea typeface="Calibri" panose="020F0502020204030204" pitchFamily="34" charset="0"/>
              <a:cs typeface="Calibri" panose="020F0502020204030204" pitchFamily="34" charset="0"/>
            </a:rPr>
            <a:t>   AGE</a:t>
          </a:r>
        </a:p>
      </xdr:txBody>
    </xdr:sp>
    <xdr:clientData/>
  </xdr:twoCellAnchor>
  <xdr:twoCellAnchor>
    <xdr:from>
      <xdr:col>16</xdr:col>
      <xdr:colOff>514350</xdr:colOff>
      <xdr:row>4</xdr:row>
      <xdr:rowOff>0</xdr:rowOff>
    </xdr:from>
    <xdr:to>
      <xdr:col>18</xdr:col>
      <xdr:colOff>666750</xdr:colOff>
      <xdr:row>6</xdr:row>
      <xdr:rowOff>28575</xdr:rowOff>
    </xdr:to>
    <xdr:sp macro="" textlink="">
      <xdr:nvSpPr>
        <xdr:cNvPr id="15" name="Rounded Rectangle 14">
          <a:hlinkClick xmlns:r="http://schemas.openxmlformats.org/officeDocument/2006/relationships" r:id="rId13"/>
        </xdr:cNvPr>
        <xdr:cNvSpPr/>
      </xdr:nvSpPr>
      <xdr:spPr>
        <a:xfrm>
          <a:off x="11487150" y="723900"/>
          <a:ext cx="1524000" cy="390525"/>
        </a:xfrm>
        <a:prstGeom prst="roundRect">
          <a:avLst/>
        </a:prstGeom>
        <a:solidFill>
          <a:srgbClr val="FDC4B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800" b="1">
              <a:solidFill>
                <a:srgbClr val="FF0000"/>
              </a:solidFill>
              <a:latin typeface="+mn-lt"/>
              <a:ea typeface="+mn-ea"/>
              <a:cs typeface="+mn-cs"/>
            </a:rPr>
            <a:t> HEALTH</a:t>
          </a:r>
        </a:p>
      </xdr:txBody>
    </xdr:sp>
    <xdr:clientData/>
  </xdr:twoCellAnchor>
  <xdr:twoCellAnchor>
    <xdr:from>
      <xdr:col>14</xdr:col>
      <xdr:colOff>114300</xdr:colOff>
      <xdr:row>6</xdr:row>
      <xdr:rowOff>104775</xdr:rowOff>
    </xdr:from>
    <xdr:to>
      <xdr:col>16</xdr:col>
      <xdr:colOff>361950</xdr:colOff>
      <xdr:row>8</xdr:row>
      <xdr:rowOff>133350</xdr:rowOff>
    </xdr:to>
    <xdr:sp macro="" textlink="">
      <xdr:nvSpPr>
        <xdr:cNvPr id="16" name="Rounded Rectangle 15">
          <a:hlinkClick xmlns:r="http://schemas.openxmlformats.org/officeDocument/2006/relationships" r:id="rId14"/>
        </xdr:cNvPr>
        <xdr:cNvSpPr/>
      </xdr:nvSpPr>
      <xdr:spPr>
        <a:xfrm>
          <a:off x="9715500" y="1190625"/>
          <a:ext cx="1619250" cy="390525"/>
        </a:xfrm>
        <a:prstGeom prst="roundRect">
          <a:avLst/>
        </a:prstGeom>
        <a:solidFill>
          <a:srgbClr val="FDC4B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1800" b="1">
              <a:solidFill>
                <a:srgbClr val="FF0000"/>
              </a:solidFill>
              <a:latin typeface="+mn-lt"/>
              <a:ea typeface="+mn-ea"/>
              <a:cs typeface="+mn-cs"/>
            </a:rPr>
            <a:t>POPULATION</a:t>
          </a:r>
        </a:p>
      </xdr:txBody>
    </xdr:sp>
    <xdr:clientData/>
  </xdr:twoCellAnchor>
  <xdr:twoCellAnchor>
    <xdr:from>
      <xdr:col>16</xdr:col>
      <xdr:colOff>504825</xdr:colOff>
      <xdr:row>6</xdr:row>
      <xdr:rowOff>104775</xdr:rowOff>
    </xdr:from>
    <xdr:to>
      <xdr:col>18</xdr:col>
      <xdr:colOff>657225</xdr:colOff>
      <xdr:row>8</xdr:row>
      <xdr:rowOff>133350</xdr:rowOff>
    </xdr:to>
    <xdr:sp macro="" textlink="">
      <xdr:nvSpPr>
        <xdr:cNvPr id="17" name="Rounded Rectangle 16">
          <a:hlinkClick xmlns:r="http://schemas.openxmlformats.org/officeDocument/2006/relationships" r:id="rId15"/>
        </xdr:cNvPr>
        <xdr:cNvSpPr/>
      </xdr:nvSpPr>
      <xdr:spPr>
        <a:xfrm>
          <a:off x="11477625" y="1190625"/>
          <a:ext cx="1524000" cy="390525"/>
        </a:xfrm>
        <a:prstGeom prst="roundRect">
          <a:avLst/>
        </a:prstGeom>
        <a:solidFill>
          <a:srgbClr val="FDC4B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r>
            <a:rPr lang="en-IN" sz="2000" b="1">
              <a:solidFill>
                <a:srgbClr val="FF0000"/>
              </a:solidFill>
              <a:latin typeface="+mn-lt"/>
              <a:ea typeface="+mn-ea"/>
              <a:cs typeface="+mn-cs"/>
            </a:rPr>
            <a:t>  CVD</a:t>
          </a:r>
        </a:p>
      </xdr:txBody>
    </xdr:sp>
    <xdr:clientData/>
  </xdr:twoCellAnchor>
  <xdr:twoCellAnchor>
    <xdr:from>
      <xdr:col>15</xdr:col>
      <xdr:colOff>619125</xdr:colOff>
      <xdr:row>9</xdr:row>
      <xdr:rowOff>57150</xdr:rowOff>
    </xdr:from>
    <xdr:to>
      <xdr:col>17</xdr:col>
      <xdr:colOff>247650</xdr:colOff>
      <xdr:row>13</xdr:row>
      <xdr:rowOff>123825</xdr:rowOff>
    </xdr:to>
    <xdr:sp macro="" textlink="">
      <xdr:nvSpPr>
        <xdr:cNvPr id="20" name="Rounded Rectangle 19"/>
        <xdr:cNvSpPr/>
      </xdr:nvSpPr>
      <xdr:spPr>
        <a:xfrm>
          <a:off x="10906125" y="1685925"/>
          <a:ext cx="1000125" cy="790575"/>
        </a:xfrm>
        <a:prstGeom prst="roundRect">
          <a:avLst/>
        </a:prstGeom>
        <a:solidFill>
          <a:srgbClr val="FDC4B9"/>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twoCellAnchor editAs="oneCell">
    <xdr:from>
      <xdr:col>16</xdr:col>
      <xdr:colOff>95250</xdr:colOff>
      <xdr:row>9</xdr:row>
      <xdr:rowOff>114300</xdr:rowOff>
    </xdr:from>
    <xdr:to>
      <xdr:col>17</xdr:col>
      <xdr:colOff>114300</xdr:colOff>
      <xdr:row>13</xdr:row>
      <xdr:rowOff>95250</xdr:rowOff>
    </xdr:to>
    <xdr:pic>
      <xdr:nvPicPr>
        <xdr:cNvPr id="21" name="Picture 20">
          <a:hlinkClick xmlns:r="http://schemas.openxmlformats.org/officeDocument/2006/relationships" r:id="rId16"/>
        </xdr:cNvPr>
        <xdr:cNvPicPr>
          <a:picLocks noChangeAspect="1"/>
        </xdr:cNvPicPr>
      </xdr:nvPicPr>
      <xdr:blipFill>
        <a:blip xmlns:r="http://schemas.openxmlformats.org/officeDocument/2006/relationships" r:embed="rId17" cstate="print">
          <a:extLst>
            <a:ext uri="{28A0092B-C50C-407E-A947-70E740481C1C}">
              <a14:useLocalDpi xmlns:a14="http://schemas.microsoft.com/office/drawing/2010/main" val="0"/>
            </a:ext>
          </a:extLst>
        </a:blip>
        <a:stretch>
          <a:fillRect/>
        </a:stretch>
      </xdr:blipFill>
      <xdr:spPr>
        <a:xfrm>
          <a:off x="11068050" y="1743075"/>
          <a:ext cx="704850" cy="704850"/>
        </a:xfrm>
        <a:prstGeom prst="rect">
          <a:avLst/>
        </a:prstGeom>
        <a:ln>
          <a:noFill/>
        </a:ln>
        <a:effectLst>
          <a:softEdge rad="112500"/>
        </a:effectLst>
      </xdr:spPr>
    </xdr:pic>
    <xdr:clientData/>
  </xdr:twoCellAnchor>
  <xdr:twoCellAnchor editAs="oneCell">
    <xdr:from>
      <xdr:col>15</xdr:col>
      <xdr:colOff>100852</xdr:colOff>
      <xdr:row>24</xdr:row>
      <xdr:rowOff>168088</xdr:rowOff>
    </xdr:from>
    <xdr:to>
      <xdr:col>17</xdr:col>
      <xdr:colOff>504265</xdr:colOff>
      <xdr:row>35</xdr:row>
      <xdr:rowOff>11206</xdr:rowOff>
    </xdr:to>
    <mc:AlternateContent xmlns:mc="http://schemas.openxmlformats.org/markup-compatibility/2006" xmlns:a14="http://schemas.microsoft.com/office/drawing/2010/main">
      <mc:Choice Requires="a14">
        <xdr:graphicFrame macro="">
          <xdr:nvGraphicFramePr>
            <xdr:cNvPr id="22" name="Year 1"/>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354234" y="4471147"/>
              <a:ext cx="1770531" cy="181535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pivotCacheDefinition1.xml><?xml version="1.0" encoding="utf-8"?>
<pivotCacheDefinition xmlns="http://schemas.openxmlformats.org/spreadsheetml/2006/main" xmlns:r="http://schemas.openxmlformats.org/officeDocument/2006/relationships" r:id="rId1" refreshedBy="Dhana" refreshedDate="46100.969492824071" createdVersion="5" refreshedVersion="5" minRefreshableVersion="3" recordCount="71">
  <cacheSource type="worksheet">
    <worksheetSource ref="A3:B74" sheet="TABLE"/>
  </cacheSource>
  <cacheFields count="2">
    <cacheField name="Country" numFmtId="0">
      <sharedItems count="71">
        <s v="USA"/>
        <s v="Canada"/>
        <s v="Mexico"/>
        <s v="Brazil"/>
        <s v="Argentina"/>
        <s v="Chile"/>
        <s v="Peru"/>
        <s v="Colombia"/>
        <s v="UK"/>
        <s v="Germany"/>
        <s v="France"/>
        <s v="Italy"/>
        <s v="Spain"/>
        <s v="Netherlands"/>
        <s v="Sweden"/>
        <s v="Norway"/>
        <s v="Belgium"/>
        <s v="Austria"/>
        <s v="Switzerland"/>
        <s v="Denmark"/>
        <s v="Finland"/>
        <s v="Poland"/>
        <s v="Portugal"/>
        <s v="Greece"/>
        <s v="Czech Republic"/>
        <s v="Hungary"/>
        <s v="Romania"/>
        <s v="Bulgaria"/>
        <s v="Russia"/>
        <s v="Ukraine"/>
        <s v="India"/>
        <s v="China"/>
        <s v="Japan"/>
        <s v="South Korea"/>
        <s v="Indonesia"/>
        <s v="Thailand"/>
        <s v="Malaysia"/>
        <s v="Vietnam"/>
        <s v="Singapore"/>
        <s v="Philippines"/>
        <s v="Bangladesh"/>
        <s v="Pakistan"/>
        <s v="Sri Lanka"/>
        <s v="Turkey"/>
        <s v="Israel"/>
        <s v="UAE"/>
        <s v="Saudi Arabia"/>
        <s v="Qatar"/>
        <s v="Australia"/>
        <s v="New Zealand"/>
        <s v="South Africa"/>
        <s v="Nigeria"/>
        <s v="Egypt"/>
        <s v="Kenya"/>
        <s v="Ethiopia"/>
        <s v="Morocco"/>
        <s v="Tunisia"/>
        <s v="Ghana"/>
        <s v="Tanzania"/>
        <s v="Algeria"/>
        <s v="Angola"/>
        <s v="Sudan"/>
        <s v="Uganda"/>
        <s v="Zambia"/>
        <s v="Zimbabwe"/>
        <s v="Senegal"/>
        <s v="Ivory Coast"/>
        <s v="Cameroon"/>
        <s v="Botswana"/>
        <s v="Namibia"/>
        <s v="Rwanda"/>
      </sharedItems>
    </cacheField>
    <cacheField name="Population" numFmtId="0">
      <sharedItems containsSemiMixedTypes="0" containsString="0" containsNumber="1" containsInteger="1" minValue="110703039" maxValue="525629365"/>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Dhana" refreshedDate="46100.971015509262" createdVersion="5" refreshedVersion="5" minRefreshableVersion="3" recordCount="6">
  <cacheSource type="worksheet">
    <worksheetSource ref="F3:H9" sheet="TABLE"/>
  </cacheSource>
  <cacheFields count="3">
    <cacheField name="Region" numFmtId="0">
      <sharedItems count="6">
        <s v="North America"/>
        <s v="South America"/>
        <s v="Europe"/>
        <s v="Asia"/>
        <s v="Oceania"/>
        <s v="Africa"/>
      </sharedItems>
    </cacheField>
    <cacheField name="Male_Population" numFmtId="0">
      <sharedItems containsSemiMixedTypes="0" containsString="0" containsNumber="1" containsInteger="1" minValue="349704158" maxValue="3379723479"/>
    </cacheField>
    <cacheField name="Female_Population" numFmtId="0">
      <sharedItems containsSemiMixedTypes="0" containsString="0" containsNumber="1" containsInteger="1" minValue="339398944" maxValue="3368903857"/>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Dhana" refreshedDate="46100.973641319448" createdVersion="5" refreshedVersion="5" minRefreshableVersion="3" recordCount="3">
  <cacheSource type="worksheet">
    <worksheetSource ref="J3:K6" sheet="TABLE"/>
  </cacheSource>
  <cacheFields count="2">
    <cacheField name="Age_Group" numFmtId="0">
      <sharedItems count="3">
        <s v="18-39"/>
        <s v="40-59"/>
        <s v="60+"/>
      </sharedItems>
    </cacheField>
    <cacheField name="Population" numFmtId="0">
      <sharedItems containsSemiMixedTypes="0" containsString="0" containsNumber="1" containsInteger="1" minValue="6594037185" maxValue="821383490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r:id="rId1" refreshedBy="Dhana" refreshedDate="46100.974573148145" createdVersion="5" refreshedVersion="5" minRefreshableVersion="3" recordCount="3">
  <cacheSource type="worksheet">
    <worksheetSource ref="M3:N6" sheet="TABLE"/>
  </cacheSource>
  <cacheFields count="2">
    <cacheField name="Age_Group" numFmtId="0">
      <sharedItems count="3">
        <s v="18-39"/>
        <s v="40-59"/>
        <s v="60+"/>
      </sharedItems>
    </cacheField>
    <cacheField name="Risk_index" numFmtId="0">
      <sharedItems containsSemiMixedTypes="0" containsString="0" containsNumber="1" containsInteger="1" minValue="40" maxValue="58"/>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r:id="rId1" refreshedBy="Dhana" refreshedDate="46100.975154282409" createdVersion="5" refreshedVersion="5" minRefreshableVersion="3" recordCount="71">
  <cacheSource type="worksheet">
    <worksheetSource ref="G12:H83" sheet="TABLE"/>
  </cacheSource>
  <cacheFields count="2">
    <cacheField name="Country" numFmtId="0">
      <sharedItems count="71">
        <s v="USA"/>
        <s v="Canada"/>
        <s v="Mexico"/>
        <s v="Brazil"/>
        <s v="Argentina"/>
        <s v="Chile"/>
        <s v="Peru"/>
        <s v="Colombia"/>
        <s v="UK"/>
        <s v="Germany"/>
        <s v="France"/>
        <s v="Italy"/>
        <s v="Spain"/>
        <s v="Netherlands"/>
        <s v="Sweden"/>
        <s v="Norway"/>
        <s v="Belgium"/>
        <s v="Austria"/>
        <s v="Switzerland"/>
        <s v="Denmark"/>
        <s v="Finland"/>
        <s v="Poland"/>
        <s v="Portugal"/>
        <s v="Greece"/>
        <s v="Czech Republic"/>
        <s v="Hungary"/>
        <s v="Romania"/>
        <s v="Bulgaria"/>
        <s v="Russia"/>
        <s v="Ukraine"/>
        <s v="India"/>
        <s v="China"/>
        <s v="Japan"/>
        <s v="South Korea"/>
        <s v="Indonesia"/>
        <s v="Thailand"/>
        <s v="Malaysia"/>
        <s v="Vietnam"/>
        <s v="Singapore"/>
        <s v="Philippines"/>
        <s v="Bangladesh"/>
        <s v="Pakistan"/>
        <s v="Sri Lanka"/>
        <s v="Turkey"/>
        <s v="Israel"/>
        <s v="UAE"/>
        <s v="Saudi Arabia"/>
        <s v="Qatar"/>
        <s v="Australia"/>
        <s v="New Zealand"/>
        <s v="South Africa"/>
        <s v="Nigeria"/>
        <s v="Egypt"/>
        <s v="Kenya"/>
        <s v="Ethiopia"/>
        <s v="Morocco"/>
        <s v="Tunisia"/>
        <s v="Ghana"/>
        <s v="Tanzania"/>
        <s v="Algeria"/>
        <s v="Angola"/>
        <s v="Sudan"/>
        <s v="Uganda"/>
        <s v="Zambia"/>
        <s v="Zimbabwe"/>
        <s v="Senegal"/>
        <s v="Ivory Coast"/>
        <s v="Cameroon"/>
        <s v="Botswana"/>
        <s v="Namibia"/>
        <s v="Rwanda"/>
      </sharedItems>
    </cacheField>
    <cacheField name="Smoking_rate" numFmtId="0">
      <sharedItems containsSemiMixedTypes="0" containsString="0" containsNumber="1" minValue="36.629999999999995" maxValue="82.76"/>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r:id="rId1" refreshedBy="Dhana" refreshedDate="46100.975420601855" createdVersion="5" refreshedVersion="5" minRefreshableVersion="3" recordCount="3">
  <cacheSource type="worksheet">
    <worksheetSource ref="J12:K15" sheet="TABLE"/>
  </cacheSource>
  <cacheFields count="2">
    <cacheField name="Age_Group" numFmtId="0">
      <sharedItems count="3">
        <s v="18-39"/>
        <s v="40-59"/>
        <s v="60+"/>
      </sharedItems>
    </cacheField>
    <cacheField name="Diabetes" numFmtId="0">
      <sharedItems containsSemiMixedTypes="0" containsString="0" containsNumber="1" minValue="697.09999999999991" maxValue="729.62000000000023"/>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r:id="rId1" refreshedBy="Dhana" refreshedDate="46100.975836458332" createdVersion="5" refreshedVersion="5" minRefreshableVersion="3" recordCount="3">
  <cacheSource type="worksheet">
    <worksheetSource ref="M12:N15" sheet="TABLE"/>
  </cacheSource>
  <cacheFields count="2">
    <cacheField name="Age_Group" numFmtId="0">
      <sharedItems count="3">
        <s v="18-39"/>
        <s v="40-59"/>
        <s v="60+"/>
      </sharedItems>
    </cacheField>
    <cacheField name="Life_Expectancy" numFmtId="0">
      <sharedItems containsSemiMixedTypes="0" containsString="0" containsNumber="1" minValue="66.400000000000006" maxValue="77.3"/>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r:id="rId1" refreshedBy="Dhana" refreshedDate="46100.976121643522" createdVersion="5" refreshedVersion="5" minRefreshableVersion="3" recordCount="6">
  <cacheSource type="worksheet">
    <worksheetSource ref="J18:K24" sheet="TABLE"/>
  </cacheSource>
  <cacheFields count="2">
    <cacheField name="Region" numFmtId="0">
      <sharedItems count="6">
        <s v="North America"/>
        <s v="South America"/>
        <s v="Europe"/>
        <s v="Asia"/>
        <s v="Oceania"/>
        <s v="Africa"/>
      </sharedItems>
    </cacheField>
    <cacheField name="Health_Expenditure" numFmtId="0">
      <sharedItems containsSemiMixedTypes="0" containsString="0" containsNumber="1" minValue="816.93" maxValue="9851.07"/>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r:id="rId1" refreshedBy="Dhana" refreshedDate="46100.976376851853" createdVersion="5" refreshedVersion="5" minRefreshableVersion="3" recordCount="6">
  <cacheSource type="worksheet">
    <worksheetSource ref="M18:N24" sheet="TABLE"/>
  </cacheSource>
  <cacheFields count="2">
    <cacheField name="Year" numFmtId="0">
      <sharedItems containsSemiMixedTypes="0" containsString="0" containsNumber="1" containsInteger="1" minValue="2021" maxValue="2026" count="6">
        <n v="2021"/>
        <n v="2022"/>
        <n v="2023"/>
        <n v="2024"/>
        <n v="2025"/>
        <n v="2026"/>
      </sharedItems>
    </cacheField>
    <cacheField name="CVD_Cases" numFmtId="0">
      <sharedItems containsSemiMixedTypes="0" containsString="0" containsNumber="1" containsInteger="1" minValue="420392" maxValue="10403663"/>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r:id="rId1" refreshedBy="Dhana" refreshedDate="46101.576171759261" createdVersion="5" refreshedVersion="5" minRefreshableVersion="3" recordCount="6">
  <cacheSource type="worksheet">
    <worksheetSource ref="D3:D9" sheet="TABLE"/>
  </cacheSource>
  <cacheFields count="1">
    <cacheField name="Year" numFmtId="0">
      <sharedItems containsSemiMixedTypes="0" containsString="0" containsNumber="1" containsInteger="1" minValue="2021" maxValue="2026" count="6">
        <n v="2021"/>
        <n v="2022"/>
        <n v="2023"/>
        <n v="2024"/>
        <n v="2025"/>
        <n v="2026"/>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71">
  <r>
    <x v="0"/>
    <n v="127650610"/>
  </r>
  <r>
    <x v="1"/>
    <n v="432460070"/>
  </r>
  <r>
    <x v="2"/>
    <n v="404483131"/>
  </r>
  <r>
    <x v="3"/>
    <n v="258944524"/>
  </r>
  <r>
    <x v="4"/>
    <n v="302709017"/>
  </r>
  <r>
    <x v="5"/>
    <n v="525629365"/>
  </r>
  <r>
    <x v="6"/>
    <n v="335077150"/>
  </r>
  <r>
    <x v="7"/>
    <n v="363998341"/>
  </r>
  <r>
    <x v="8"/>
    <n v="296699949"/>
  </r>
  <r>
    <x v="9"/>
    <n v="157955383"/>
  </r>
  <r>
    <x v="10"/>
    <n v="247967993"/>
  </r>
  <r>
    <x v="11"/>
    <n v="253472098"/>
  </r>
  <r>
    <x v="12"/>
    <n v="165425123"/>
  </r>
  <r>
    <x v="13"/>
    <n v="409776057"/>
  </r>
  <r>
    <x v="14"/>
    <n v="393159200"/>
  </r>
  <r>
    <x v="15"/>
    <n v="339441045"/>
  </r>
  <r>
    <x v="16"/>
    <n v="333570067"/>
  </r>
  <r>
    <x v="17"/>
    <n v="435139930"/>
  </r>
  <r>
    <x v="18"/>
    <n v="361320978"/>
  </r>
  <r>
    <x v="19"/>
    <n v="334983307"/>
  </r>
  <r>
    <x v="20"/>
    <n v="415691408"/>
  </r>
  <r>
    <x v="21"/>
    <n v="136404477"/>
  </r>
  <r>
    <x v="22"/>
    <n v="360573339"/>
  </r>
  <r>
    <x v="23"/>
    <n v="459277723"/>
  </r>
  <r>
    <x v="24"/>
    <n v="215268629"/>
  </r>
  <r>
    <x v="25"/>
    <n v="272542057"/>
  </r>
  <r>
    <x v="26"/>
    <n v="434793610"/>
  </r>
  <r>
    <x v="27"/>
    <n v="256475876"/>
  </r>
  <r>
    <x v="28"/>
    <n v="259553646"/>
  </r>
  <r>
    <x v="29"/>
    <n v="209135441"/>
  </r>
  <r>
    <x v="30"/>
    <n v="326369701"/>
  </r>
  <r>
    <x v="31"/>
    <n v="279879083"/>
  </r>
  <r>
    <x v="32"/>
    <n v="374631626"/>
  </r>
  <r>
    <x v="33"/>
    <n v="369499204"/>
  </r>
  <r>
    <x v="34"/>
    <n v="505297611"/>
  </r>
  <r>
    <x v="35"/>
    <n v="393340437"/>
  </r>
  <r>
    <x v="36"/>
    <n v="259253608"/>
  </r>
  <r>
    <x v="37"/>
    <n v="418372933"/>
  </r>
  <r>
    <x v="38"/>
    <n v="255241567"/>
  </r>
  <r>
    <x v="39"/>
    <n v="325176369"/>
  </r>
  <r>
    <x v="40"/>
    <n v="419625096"/>
  </r>
  <r>
    <x v="41"/>
    <n v="197481500"/>
  </r>
  <r>
    <x v="42"/>
    <n v="315748921"/>
  </r>
  <r>
    <x v="43"/>
    <n v="110703039"/>
  </r>
  <r>
    <x v="44"/>
    <n v="330641994"/>
  </r>
  <r>
    <x v="45"/>
    <n v="239681575"/>
  </r>
  <r>
    <x v="46"/>
    <n v="259008089"/>
  </r>
  <r>
    <x v="47"/>
    <n v="321454874"/>
  </r>
  <r>
    <x v="48"/>
    <n v="273170517"/>
  </r>
  <r>
    <x v="49"/>
    <n v="415932585"/>
  </r>
  <r>
    <x v="50"/>
    <n v="209140859"/>
  </r>
  <r>
    <x v="51"/>
    <n v="264654928"/>
  </r>
  <r>
    <x v="52"/>
    <n v="378452121"/>
  </r>
  <r>
    <x v="53"/>
    <n v="377509409"/>
  </r>
  <r>
    <x v="54"/>
    <n v="442949255"/>
  </r>
  <r>
    <x v="55"/>
    <n v="191091026"/>
  </r>
  <r>
    <x v="56"/>
    <n v="194756088"/>
  </r>
  <r>
    <x v="57"/>
    <n v="261426535"/>
  </r>
  <r>
    <x v="58"/>
    <n v="240012784"/>
  </r>
  <r>
    <x v="59"/>
    <n v="201226927"/>
  </r>
  <r>
    <x v="60"/>
    <n v="355207811"/>
  </r>
  <r>
    <x v="61"/>
    <n v="219067365"/>
  </r>
  <r>
    <x v="62"/>
    <n v="458512499"/>
  </r>
  <r>
    <x v="63"/>
    <n v="265135882"/>
  </r>
  <r>
    <x v="64"/>
    <n v="261280093"/>
  </r>
  <r>
    <x v="65"/>
    <n v="364161823"/>
  </r>
  <r>
    <x v="66"/>
    <n v="235747842"/>
  </r>
  <r>
    <x v="67"/>
    <n v="397935382"/>
  </r>
  <r>
    <x v="68"/>
    <n v="313783459"/>
  </r>
  <r>
    <x v="69"/>
    <n v="355172651"/>
  </r>
  <r>
    <x v="70"/>
    <n v="403835455"/>
  </r>
</pivotCacheRecords>
</file>

<file path=xl/pivotCache/pivotCacheRecords2.xml><?xml version="1.0" encoding="utf-8"?>
<pivotCacheRecords xmlns="http://schemas.openxmlformats.org/spreadsheetml/2006/main" xmlns:r="http://schemas.openxmlformats.org/officeDocument/2006/relationships" count="6">
  <r>
    <x v="0"/>
    <n v="472386358"/>
    <n v="492207453"/>
  </r>
  <r>
    <x v="1"/>
    <n v="891536684"/>
    <n v="894821713"/>
  </r>
  <r>
    <x v="2"/>
    <n v="3379723479"/>
    <n v="3368903857"/>
  </r>
  <r>
    <x v="3"/>
    <n v="2854571363"/>
    <n v="2846835864"/>
  </r>
  <r>
    <x v="4"/>
    <n v="349704158"/>
    <n v="339398944"/>
  </r>
  <r>
    <x v="5"/>
    <n v="3212384326"/>
    <n v="3178675868"/>
  </r>
</pivotCacheRecords>
</file>

<file path=xl/pivotCache/pivotCacheRecords3.xml><?xml version="1.0" encoding="utf-8"?>
<pivotCacheRecords xmlns="http://schemas.openxmlformats.org/spreadsheetml/2006/main" xmlns:r="http://schemas.openxmlformats.org/officeDocument/2006/relationships" count="3">
  <r>
    <x v="0"/>
    <n v="7473277977"/>
  </r>
  <r>
    <x v="1"/>
    <n v="6594037185"/>
  </r>
  <r>
    <x v="2"/>
    <n v="8213834905"/>
  </r>
</pivotCacheRecords>
</file>

<file path=xl/pivotCache/pivotCacheRecords4.xml><?xml version="1.0" encoding="utf-8"?>
<pivotCacheRecords xmlns="http://schemas.openxmlformats.org/spreadsheetml/2006/main" xmlns:r="http://schemas.openxmlformats.org/officeDocument/2006/relationships" count="3">
  <r>
    <x v="0"/>
    <n v="43"/>
  </r>
  <r>
    <x v="1"/>
    <n v="40"/>
  </r>
  <r>
    <x v="2"/>
    <n v="58"/>
  </r>
</pivotCacheRecords>
</file>

<file path=xl/pivotCache/pivotCacheRecords5.xml><?xml version="1.0" encoding="utf-8"?>
<pivotCacheRecords xmlns="http://schemas.openxmlformats.org/spreadsheetml/2006/main" xmlns:r="http://schemas.openxmlformats.org/officeDocument/2006/relationships" count="71">
  <r>
    <x v="0"/>
    <n v="63.95"/>
  </r>
  <r>
    <x v="1"/>
    <n v="53.47"/>
  </r>
  <r>
    <x v="2"/>
    <n v="47.73"/>
  </r>
  <r>
    <x v="3"/>
    <n v="52.45"/>
  </r>
  <r>
    <x v="4"/>
    <n v="62.519999999999996"/>
  </r>
  <r>
    <x v="5"/>
    <n v="52.93"/>
  </r>
  <r>
    <x v="6"/>
    <n v="82.76"/>
  </r>
  <r>
    <x v="7"/>
    <n v="62.379999999999995"/>
  </r>
  <r>
    <x v="8"/>
    <n v="60.61"/>
  </r>
  <r>
    <x v="9"/>
    <n v="55.3"/>
  </r>
  <r>
    <x v="10"/>
    <n v="72.12"/>
  </r>
  <r>
    <x v="11"/>
    <n v="65.080000000000013"/>
  </r>
  <r>
    <x v="12"/>
    <n v="73.990000000000009"/>
  </r>
  <r>
    <x v="13"/>
    <n v="79.77000000000001"/>
  </r>
  <r>
    <x v="14"/>
    <n v="58.3"/>
  </r>
  <r>
    <x v="15"/>
    <n v="51.75"/>
  </r>
  <r>
    <x v="16"/>
    <n v="77.23"/>
  </r>
  <r>
    <x v="17"/>
    <n v="71.680000000000007"/>
  </r>
  <r>
    <x v="18"/>
    <n v="49.72"/>
  </r>
  <r>
    <x v="19"/>
    <n v="36.629999999999995"/>
  </r>
  <r>
    <x v="20"/>
    <n v="70.900000000000006"/>
  </r>
  <r>
    <x v="21"/>
    <n v="61.36"/>
  </r>
  <r>
    <x v="22"/>
    <n v="52.989999999999995"/>
  </r>
  <r>
    <x v="23"/>
    <n v="65.72"/>
  </r>
  <r>
    <x v="24"/>
    <n v="55.35"/>
  </r>
  <r>
    <x v="25"/>
    <n v="46.64"/>
  </r>
  <r>
    <x v="26"/>
    <n v="68.72999999999999"/>
  </r>
  <r>
    <x v="27"/>
    <n v="40.209999999999994"/>
  </r>
  <r>
    <x v="28"/>
    <n v="55.14"/>
  </r>
  <r>
    <x v="29"/>
    <n v="77.099999999999994"/>
  </r>
  <r>
    <x v="30"/>
    <n v="69.84"/>
  </r>
  <r>
    <x v="31"/>
    <n v="47.76"/>
  </r>
  <r>
    <x v="32"/>
    <n v="78.34"/>
  </r>
  <r>
    <x v="33"/>
    <n v="71.39"/>
  </r>
  <r>
    <x v="34"/>
    <n v="39.239999999999995"/>
  </r>
  <r>
    <x v="35"/>
    <n v="55.83"/>
  </r>
  <r>
    <x v="36"/>
    <n v="62.959999999999994"/>
  </r>
  <r>
    <x v="37"/>
    <n v="50.63"/>
  </r>
  <r>
    <x v="38"/>
    <n v="48.68"/>
  </r>
  <r>
    <x v="39"/>
    <n v="49.39"/>
  </r>
  <r>
    <x v="40"/>
    <n v="48.85"/>
  </r>
  <r>
    <x v="41"/>
    <n v="56.769999999999996"/>
  </r>
  <r>
    <x v="42"/>
    <n v="57.089999999999996"/>
  </r>
  <r>
    <x v="43"/>
    <n v="51.07"/>
  </r>
  <r>
    <x v="44"/>
    <n v="73.570000000000007"/>
  </r>
  <r>
    <x v="45"/>
    <n v="55.17"/>
  </r>
  <r>
    <x v="46"/>
    <n v="62.800000000000004"/>
  </r>
  <r>
    <x v="47"/>
    <n v="50.120000000000005"/>
  </r>
  <r>
    <x v="48"/>
    <n v="54.77"/>
  </r>
  <r>
    <x v="49"/>
    <n v="55.959999999999994"/>
  </r>
  <r>
    <x v="50"/>
    <n v="70.19"/>
  </r>
  <r>
    <x v="51"/>
    <n v="52.79"/>
  </r>
  <r>
    <x v="52"/>
    <n v="68.14"/>
  </r>
  <r>
    <x v="53"/>
    <n v="68.22"/>
  </r>
  <r>
    <x v="54"/>
    <n v="49.53"/>
  </r>
  <r>
    <x v="55"/>
    <n v="50.79"/>
  </r>
  <r>
    <x v="56"/>
    <n v="63.949999999999996"/>
  </r>
  <r>
    <x v="57"/>
    <n v="53.04"/>
  </r>
  <r>
    <x v="58"/>
    <n v="68.17"/>
  </r>
  <r>
    <x v="59"/>
    <n v="54.870000000000005"/>
  </r>
  <r>
    <x v="60"/>
    <n v="55.75"/>
  </r>
  <r>
    <x v="61"/>
    <n v="47.63"/>
  </r>
  <r>
    <x v="62"/>
    <n v="51.099999999999994"/>
  </r>
  <r>
    <x v="63"/>
    <n v="53.78"/>
  </r>
  <r>
    <x v="64"/>
    <n v="51.980000000000004"/>
  </r>
  <r>
    <x v="65"/>
    <n v="53.89"/>
  </r>
  <r>
    <x v="66"/>
    <n v="72.44"/>
  </r>
  <r>
    <x v="67"/>
    <n v="55.599999999999994"/>
  </r>
  <r>
    <x v="68"/>
    <n v="57.910000000000004"/>
  </r>
  <r>
    <x v="69"/>
    <n v="49.42"/>
  </r>
  <r>
    <x v="70"/>
    <n v="51.17"/>
  </r>
</pivotCacheRecords>
</file>

<file path=xl/pivotCache/pivotCacheRecords6.xml><?xml version="1.0" encoding="utf-8"?>
<pivotCacheRecords xmlns="http://schemas.openxmlformats.org/spreadsheetml/2006/main" xmlns:r="http://schemas.openxmlformats.org/officeDocument/2006/relationships" count="3">
  <r>
    <x v="0"/>
    <n v="729.62000000000023"/>
  </r>
  <r>
    <x v="1"/>
    <n v="704.74000000000012"/>
  </r>
  <r>
    <x v="2"/>
    <n v="697.09999999999991"/>
  </r>
</pivotCacheRecords>
</file>

<file path=xl/pivotCache/pivotCacheRecords7.xml><?xml version="1.0" encoding="utf-8"?>
<pivotCacheRecords xmlns="http://schemas.openxmlformats.org/spreadsheetml/2006/main" xmlns:r="http://schemas.openxmlformats.org/officeDocument/2006/relationships" count="3">
  <r>
    <x v="0"/>
    <n v="77.3"/>
  </r>
  <r>
    <x v="1"/>
    <n v="66.400000000000006"/>
  </r>
  <r>
    <x v="2"/>
    <n v="74.3"/>
  </r>
</pivotCacheRecords>
</file>

<file path=xl/pivotCache/pivotCacheRecords8.xml><?xml version="1.0" encoding="utf-8"?>
<pivotCacheRecords xmlns="http://schemas.openxmlformats.org/spreadsheetml/2006/main" xmlns:r="http://schemas.openxmlformats.org/officeDocument/2006/relationships" count="6">
  <r>
    <x v="0"/>
    <n v="816.93"/>
  </r>
  <r>
    <x v="1"/>
    <n v="3101.85"/>
  </r>
  <r>
    <x v="2"/>
    <n v="7118.5"/>
  </r>
  <r>
    <x v="3"/>
    <n v="9851.07"/>
  </r>
  <r>
    <x v="4"/>
    <n v="3199.32"/>
  </r>
  <r>
    <x v="5"/>
    <n v="1524.15"/>
  </r>
</pivotCacheRecords>
</file>

<file path=xl/pivotCache/pivotCacheRecords9.xml><?xml version="1.0" encoding="utf-8"?>
<pivotCacheRecords xmlns="http://schemas.openxmlformats.org/spreadsheetml/2006/main" xmlns:r="http://schemas.openxmlformats.org/officeDocument/2006/relationships" count="6">
  <r>
    <x v="0"/>
    <n v="5444171"/>
  </r>
  <r>
    <x v="1"/>
    <n v="8787372"/>
  </r>
  <r>
    <x v="2"/>
    <n v="8532186"/>
  </r>
  <r>
    <x v="3"/>
    <n v="420392"/>
  </r>
  <r>
    <x v="4"/>
    <n v="2546895"/>
  </r>
  <r>
    <x v="5"/>
    <n v="10403663"/>
  </r>
</pivotCacheRecords>
</file>

<file path=xl/pivotCache/pivotCacheRecords10.xml><?xml version="1.0" encoding="utf-8"?>
<pivotCacheRecords xmlns="http://schemas.openxmlformats.org/spreadsheetml/2006/main" xmlns:r="http://schemas.openxmlformats.org/officeDocument/2006/relationships" count="6">
  <r>
    <x v="0"/>
  </r>
  <r>
    <x v="1"/>
  </r>
  <r>
    <x v="2"/>
  </r>
  <r>
    <x v="3"/>
  </r>
  <r>
    <x v="4"/>
  </r>
  <r>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75" firstHeaderRow="1" firstDataRow="1" firstDataCol="1"/>
  <pivotFields count="2">
    <pivotField axis="axisRow" showAll="0">
      <items count="72">
        <item x="59"/>
        <item x="60"/>
        <item x="4"/>
        <item x="48"/>
        <item x="17"/>
        <item x="40"/>
        <item x="16"/>
        <item x="68"/>
        <item x="3"/>
        <item x="27"/>
        <item x="67"/>
        <item x="1"/>
        <item x="5"/>
        <item x="31"/>
        <item x="7"/>
        <item x="24"/>
        <item x="19"/>
        <item x="52"/>
        <item x="54"/>
        <item x="20"/>
        <item x="10"/>
        <item x="9"/>
        <item x="57"/>
        <item x="23"/>
        <item x="25"/>
        <item x="30"/>
        <item x="34"/>
        <item x="44"/>
        <item x="11"/>
        <item x="66"/>
        <item x="32"/>
        <item x="53"/>
        <item x="36"/>
        <item x="2"/>
        <item x="55"/>
        <item x="69"/>
        <item x="13"/>
        <item x="49"/>
        <item x="51"/>
        <item x="15"/>
        <item x="41"/>
        <item x="6"/>
        <item x="39"/>
        <item x="21"/>
        <item x="22"/>
        <item x="47"/>
        <item x="26"/>
        <item x="28"/>
        <item x="70"/>
        <item x="46"/>
        <item x="65"/>
        <item x="38"/>
        <item x="50"/>
        <item x="33"/>
        <item x="12"/>
        <item x="42"/>
        <item x="61"/>
        <item x="14"/>
        <item x="18"/>
        <item x="58"/>
        <item x="35"/>
        <item x="56"/>
        <item x="43"/>
        <item x="45"/>
        <item x="62"/>
        <item x="8"/>
        <item x="29"/>
        <item x="0"/>
        <item x="37"/>
        <item x="63"/>
        <item x="64"/>
        <item t="default"/>
      </items>
    </pivotField>
    <pivotField dataField="1" showAll="0"/>
  </pivotFields>
  <rowFields count="1">
    <field x="0"/>
  </rowFields>
  <rowItems count="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t="grand">
      <x/>
    </i>
  </rowItems>
  <colItems count="1">
    <i/>
  </colItems>
  <dataFields count="1">
    <dataField name="Sum of Population" fld="1"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D3:E10" firstHeaderRow="1" firstDataRow="1" firstDataCol="1"/>
  <pivotFields count="3">
    <pivotField axis="axisRow" showAll="0">
      <items count="7">
        <item x="5"/>
        <item x="3"/>
        <item x="2"/>
        <item x="0"/>
        <item x="4"/>
        <item x="1"/>
        <item t="default"/>
      </items>
    </pivotField>
    <pivotField showAll="0"/>
    <pivotField dataField="1" showAll="0"/>
  </pivotFields>
  <rowFields count="1">
    <field x="0"/>
  </rowFields>
  <rowItems count="7">
    <i>
      <x/>
    </i>
    <i>
      <x v="1"/>
    </i>
    <i>
      <x v="2"/>
    </i>
    <i>
      <x v="3"/>
    </i>
    <i>
      <x v="4"/>
    </i>
    <i>
      <x v="5"/>
    </i>
    <i t="grand">
      <x/>
    </i>
  </rowItems>
  <colItems count="1">
    <i/>
  </colItems>
  <dataFields count="1">
    <dataField name="Sum of Female_Population" fld="2"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0" count="1" selected="0">
            <x v="0"/>
          </reference>
        </references>
      </pivotArea>
    </chartFormat>
    <chartFormat chart="2" format="16">
      <pivotArea type="data" outline="0" fieldPosition="0">
        <references count="2">
          <reference field="4294967294" count="1" selected="0">
            <x v="0"/>
          </reference>
          <reference field="0" count="1" selected="0">
            <x v="1"/>
          </reference>
        </references>
      </pivotArea>
    </chartFormat>
    <chartFormat chart="2" format="17">
      <pivotArea type="data" outline="0" fieldPosition="0">
        <references count="2">
          <reference field="4294967294" count="1" selected="0">
            <x v="0"/>
          </reference>
          <reference field="0" count="1" selected="0">
            <x v="2"/>
          </reference>
        </references>
      </pivotArea>
    </chartFormat>
    <chartFormat chart="2" format="18">
      <pivotArea type="data" outline="0" fieldPosition="0">
        <references count="2">
          <reference field="4294967294" count="1" selected="0">
            <x v="0"/>
          </reference>
          <reference field="0" count="1" selected="0">
            <x v="3"/>
          </reference>
        </references>
      </pivotArea>
    </chartFormat>
    <chartFormat chart="2" format="19">
      <pivotArea type="data" outline="0" fieldPosition="0">
        <references count="2">
          <reference field="4294967294" count="1" selected="0">
            <x v="0"/>
          </reference>
          <reference field="0" count="1" selected="0">
            <x v="4"/>
          </reference>
        </references>
      </pivotArea>
    </chartFormat>
    <chartFormat chart="2" format="20">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1"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10" firstHeaderRow="1" firstDataRow="1" firstDataCol="1"/>
  <pivotFields count="3">
    <pivotField axis="axisRow" showAll="0">
      <items count="7">
        <item x="5"/>
        <item x="3"/>
        <item x="2"/>
        <item x="0"/>
        <item x="4"/>
        <item x="1"/>
        <item t="default"/>
      </items>
    </pivotField>
    <pivotField dataField="1" showAll="0"/>
    <pivotField showAll="0"/>
  </pivotFields>
  <rowFields count="1">
    <field x="0"/>
  </rowFields>
  <rowItems count="7">
    <i>
      <x/>
    </i>
    <i>
      <x v="1"/>
    </i>
    <i>
      <x v="2"/>
    </i>
    <i>
      <x v="3"/>
    </i>
    <i>
      <x v="4"/>
    </i>
    <i>
      <x v="5"/>
    </i>
    <i t="grand">
      <x/>
    </i>
  </rowItems>
  <colItems count="1">
    <i/>
  </colItems>
  <dataFields count="1">
    <dataField name="Sum of Male_Population" fld="1" baseField="0" baseItem="0"/>
  </dataFields>
  <chartFormats count="1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5"/>
          </reference>
        </references>
      </pivotArea>
    </chartFormat>
    <chartFormat chart="0" format="2">
      <pivotArea type="data" outline="0" fieldPosition="0">
        <references count="2">
          <reference field="4294967294" count="1" selected="0">
            <x v="0"/>
          </reference>
          <reference field="0" count="1" selected="0">
            <x v="4"/>
          </reference>
        </references>
      </pivotArea>
    </chartFormat>
    <chartFormat chart="0" format="3">
      <pivotArea type="data" outline="0" fieldPosition="0">
        <references count="2">
          <reference field="4294967294" count="1" selected="0">
            <x v="0"/>
          </reference>
          <reference field="0" count="1" selected="0">
            <x v="3"/>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0"/>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0" count="1" selected="0">
            <x v="0"/>
          </reference>
        </references>
      </pivotArea>
    </chartFormat>
    <chartFormat chart="2" format="16">
      <pivotArea type="data" outline="0" fieldPosition="0">
        <references count="2">
          <reference field="4294967294" count="1" selected="0">
            <x v="0"/>
          </reference>
          <reference field="0" count="1" selected="0">
            <x v="1"/>
          </reference>
        </references>
      </pivotArea>
    </chartFormat>
    <chartFormat chart="2" format="17">
      <pivotArea type="data" outline="0" fieldPosition="0">
        <references count="2">
          <reference field="4294967294" count="1" selected="0">
            <x v="0"/>
          </reference>
          <reference field="0" count="1" selected="0">
            <x v="2"/>
          </reference>
        </references>
      </pivotArea>
    </chartFormat>
    <chartFormat chart="2" format="18">
      <pivotArea type="data" outline="0" fieldPosition="0">
        <references count="2">
          <reference field="4294967294" count="1" selected="0">
            <x v="0"/>
          </reference>
          <reference field="0" count="1" selected="0">
            <x v="3"/>
          </reference>
        </references>
      </pivotArea>
    </chartFormat>
    <chartFormat chart="2" format="19">
      <pivotArea type="data" outline="0" fieldPosition="0">
        <references count="2">
          <reference field="4294967294" count="1" selected="0">
            <x v="0"/>
          </reference>
          <reference field="0" count="1" selected="0">
            <x v="4"/>
          </reference>
        </references>
      </pivotArea>
    </chartFormat>
    <chartFormat chart="2" format="20">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2"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7" firstHeaderRow="1" firstDataRow="1" firstDataCol="1"/>
  <pivotFields count="2">
    <pivotField axis="axisRow" showAll="0">
      <items count="4">
        <item x="0"/>
        <item x="1"/>
        <item x="2"/>
        <item t="default"/>
      </items>
    </pivotField>
    <pivotField dataField="1" showAll="0"/>
  </pivotFields>
  <rowFields count="1">
    <field x="0"/>
  </rowFields>
  <rowItems count="4">
    <i>
      <x/>
    </i>
    <i>
      <x v="1"/>
    </i>
    <i>
      <x v="2"/>
    </i>
    <i t="grand">
      <x/>
    </i>
  </rowItems>
  <colItems count="1">
    <i/>
  </colItems>
  <dataFields count="1">
    <dataField name="Sum of Population" fld="1"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2"/>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3"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7" firstHeaderRow="1" firstDataRow="1" firstDataCol="1"/>
  <pivotFields count="2">
    <pivotField axis="axisRow" showAll="0">
      <items count="4">
        <item x="0"/>
        <item x="1"/>
        <item x="2"/>
        <item t="default"/>
      </items>
    </pivotField>
    <pivotField dataField="1" showAll="0"/>
  </pivotFields>
  <rowFields count="1">
    <field x="0"/>
  </rowFields>
  <rowItems count="4">
    <i>
      <x/>
    </i>
    <i>
      <x v="1"/>
    </i>
    <i>
      <x v="2"/>
    </i>
    <i t="grand">
      <x/>
    </i>
  </rowItems>
  <colItems count="1">
    <i/>
  </colItems>
  <dataFields count="1">
    <dataField name="Sum of Risk_index" fld="1"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0" count="1" selected="0">
            <x v="0"/>
          </reference>
        </references>
      </pivotArea>
    </chartFormat>
    <chartFormat chart="2" format="10">
      <pivotArea type="data" outline="0" fieldPosition="0">
        <references count="2">
          <reference field="4294967294" count="1" selected="0">
            <x v="0"/>
          </reference>
          <reference field="0" count="1" selected="0">
            <x v="1"/>
          </reference>
        </references>
      </pivotArea>
    </chartFormat>
    <chartFormat chart="2"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9" cacheId="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75" firstHeaderRow="1" firstDataRow="1" firstDataCol="1"/>
  <pivotFields count="2">
    <pivotField axis="axisRow" showAll="0">
      <items count="72">
        <item x="59"/>
        <item x="60"/>
        <item x="4"/>
        <item x="48"/>
        <item x="17"/>
        <item x="40"/>
        <item x="16"/>
        <item x="68"/>
        <item x="3"/>
        <item x="27"/>
        <item x="67"/>
        <item x="1"/>
        <item x="5"/>
        <item x="31"/>
        <item x="7"/>
        <item x="24"/>
        <item x="19"/>
        <item x="52"/>
        <item x="54"/>
        <item x="20"/>
        <item x="10"/>
        <item x="9"/>
        <item x="57"/>
        <item x="23"/>
        <item x="25"/>
        <item x="30"/>
        <item x="34"/>
        <item x="44"/>
        <item x="11"/>
        <item x="66"/>
        <item x="32"/>
        <item x="53"/>
        <item x="36"/>
        <item x="2"/>
        <item x="55"/>
        <item x="69"/>
        <item x="13"/>
        <item x="49"/>
        <item x="51"/>
        <item x="15"/>
        <item x="41"/>
        <item x="6"/>
        <item x="39"/>
        <item x="21"/>
        <item x="22"/>
        <item x="47"/>
        <item x="26"/>
        <item x="28"/>
        <item x="70"/>
        <item x="46"/>
        <item x="65"/>
        <item x="38"/>
        <item x="50"/>
        <item x="33"/>
        <item x="12"/>
        <item x="42"/>
        <item x="61"/>
        <item x="14"/>
        <item x="18"/>
        <item x="58"/>
        <item x="35"/>
        <item x="56"/>
        <item x="43"/>
        <item x="45"/>
        <item x="62"/>
        <item x="8"/>
        <item x="29"/>
        <item x="0"/>
        <item x="37"/>
        <item x="63"/>
        <item x="64"/>
        <item t="default"/>
      </items>
    </pivotField>
    <pivotField dataField="1" showAll="0"/>
  </pivotFields>
  <rowFields count="1">
    <field x="0"/>
  </rowFields>
  <rowItems count="7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t="grand">
      <x/>
    </i>
  </rowItems>
  <colItems count="1">
    <i/>
  </colItems>
  <dataFields count="1">
    <dataField name="Sum of Smoking_rate"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0" cacheId="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4">
  <location ref="A3:B7" firstHeaderRow="1" firstDataRow="1" firstDataCol="1"/>
  <pivotFields count="2">
    <pivotField axis="axisRow" showAll="0">
      <items count="4">
        <item x="0"/>
        <item x="1"/>
        <item x="2"/>
        <item t="default"/>
      </items>
    </pivotField>
    <pivotField dataField="1" showAll="0"/>
  </pivotFields>
  <rowFields count="1">
    <field x="0"/>
  </rowFields>
  <rowItems count="4">
    <i>
      <x/>
    </i>
    <i>
      <x v="1"/>
    </i>
    <i>
      <x v="2"/>
    </i>
    <i t="grand">
      <x/>
    </i>
  </rowItems>
  <colItems count="1">
    <i/>
  </colItems>
  <dataFields count="1">
    <dataField name="Sum of Diabetes" fld="1"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1" cacheId="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7" firstHeaderRow="1" firstDataRow="1" firstDataCol="1"/>
  <pivotFields count="2">
    <pivotField axis="axisRow" showAll="0">
      <items count="4">
        <item x="0"/>
        <item x="1"/>
        <item x="2"/>
        <item t="default"/>
      </items>
    </pivotField>
    <pivotField dataField="1" showAll="0"/>
  </pivotFields>
  <rowFields count="1">
    <field x="0"/>
  </rowFields>
  <rowItems count="4">
    <i>
      <x/>
    </i>
    <i>
      <x v="1"/>
    </i>
    <i>
      <x v="2"/>
    </i>
    <i t="grand">
      <x/>
    </i>
  </rowItems>
  <colItems count="1">
    <i/>
  </colItems>
  <dataFields count="1">
    <dataField name="Sum of Life_Expectancy" fld="1" baseField="0" baseItem="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0" count="1" selected="0">
            <x v="1"/>
          </reference>
        </references>
      </pivotArea>
    </chartFormat>
    <chartFormat chart="2" format="8">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2" cacheId="7"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10" firstHeaderRow="1" firstDataRow="1" firstDataCol="1"/>
  <pivotFields count="2">
    <pivotField axis="axisRow" showAll="0">
      <items count="7">
        <item x="5"/>
        <item x="3"/>
        <item x="2"/>
        <item x="0"/>
        <item x="4"/>
        <item x="1"/>
        <item t="default"/>
      </items>
    </pivotField>
    <pivotField dataField="1" showAll="0"/>
  </pivotFields>
  <rowFields count="1">
    <field x="0"/>
  </rowFields>
  <rowItems count="7">
    <i>
      <x/>
    </i>
    <i>
      <x v="1"/>
    </i>
    <i>
      <x v="2"/>
    </i>
    <i>
      <x v="3"/>
    </i>
    <i>
      <x v="4"/>
    </i>
    <i>
      <x v="5"/>
    </i>
    <i t="grand">
      <x/>
    </i>
  </rowItems>
  <colItems count="1">
    <i/>
  </colItems>
  <dataFields count="1">
    <dataField name="Sum of Health_Expenditure" fld="1" baseField="0" baseItem="0"/>
  </dataFields>
  <chartFormats count="2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1" format="7" series="1">
      <pivotArea type="data" outline="0" fieldPosition="0">
        <references count="1">
          <reference field="4294967294" count="1" selected="0">
            <x v="0"/>
          </reference>
        </references>
      </pivotArea>
    </chartFormat>
    <chartFormat chart="1" format="8">
      <pivotArea type="data" outline="0" fieldPosition="0">
        <references count="2">
          <reference field="4294967294" count="1" selected="0">
            <x v="0"/>
          </reference>
          <reference field="0" count="1" selected="0">
            <x v="0"/>
          </reference>
        </references>
      </pivotArea>
    </chartFormat>
    <chartFormat chart="1" format="9">
      <pivotArea type="data" outline="0" fieldPosition="0">
        <references count="2">
          <reference field="4294967294" count="1" selected="0">
            <x v="0"/>
          </reference>
          <reference field="0" count="1" selected="0">
            <x v="1"/>
          </reference>
        </references>
      </pivotArea>
    </chartFormat>
    <chartFormat chart="1" format="10">
      <pivotArea type="data" outline="0" fieldPosition="0">
        <references count="2">
          <reference field="4294967294" count="1" selected="0">
            <x v="0"/>
          </reference>
          <reference field="0" count="1" selected="0">
            <x v="2"/>
          </reference>
        </references>
      </pivotArea>
    </chartFormat>
    <chartFormat chart="1" format="11">
      <pivotArea type="data" outline="0" fieldPosition="0">
        <references count="2">
          <reference field="4294967294" count="1" selected="0">
            <x v="0"/>
          </reference>
          <reference field="0" count="1" selected="0">
            <x v="3"/>
          </reference>
        </references>
      </pivotArea>
    </chartFormat>
    <chartFormat chart="1" format="12">
      <pivotArea type="data" outline="0" fieldPosition="0">
        <references count="2">
          <reference field="4294967294" count="1" selected="0">
            <x v="0"/>
          </reference>
          <reference field="0" count="1" selected="0">
            <x v="4"/>
          </reference>
        </references>
      </pivotArea>
    </chartFormat>
    <chartFormat chart="1" format="13">
      <pivotArea type="data" outline="0" fieldPosition="0">
        <references count="2">
          <reference field="4294967294" count="1" selected="0">
            <x v="0"/>
          </reference>
          <reference field="0" count="1" selected="0">
            <x v="5"/>
          </reference>
        </references>
      </pivotArea>
    </chartFormat>
    <chartFormat chart="2" format="14" series="1">
      <pivotArea type="data" outline="0" fieldPosition="0">
        <references count="1">
          <reference field="4294967294" count="1" selected="0">
            <x v="0"/>
          </reference>
        </references>
      </pivotArea>
    </chartFormat>
    <chartFormat chart="2" format="15">
      <pivotArea type="data" outline="0" fieldPosition="0">
        <references count="2">
          <reference field="4294967294" count="1" selected="0">
            <x v="0"/>
          </reference>
          <reference field="0" count="1" selected="0">
            <x v="0"/>
          </reference>
        </references>
      </pivotArea>
    </chartFormat>
    <chartFormat chart="2" format="16">
      <pivotArea type="data" outline="0" fieldPosition="0">
        <references count="2">
          <reference field="4294967294" count="1" selected="0">
            <x v="0"/>
          </reference>
          <reference field="0" count="1" selected="0">
            <x v="1"/>
          </reference>
        </references>
      </pivotArea>
    </chartFormat>
    <chartFormat chart="2" format="17">
      <pivotArea type="data" outline="0" fieldPosition="0">
        <references count="2">
          <reference field="4294967294" count="1" selected="0">
            <x v="0"/>
          </reference>
          <reference field="0" count="1" selected="0">
            <x v="2"/>
          </reference>
        </references>
      </pivotArea>
    </chartFormat>
    <chartFormat chart="2" format="18">
      <pivotArea type="data" outline="0" fieldPosition="0">
        <references count="2">
          <reference field="4294967294" count="1" selected="0">
            <x v="0"/>
          </reference>
          <reference field="0" count="1" selected="0">
            <x v="3"/>
          </reference>
        </references>
      </pivotArea>
    </chartFormat>
    <chartFormat chart="2" format="19">
      <pivotArea type="data" outline="0" fieldPosition="0">
        <references count="2">
          <reference field="4294967294" count="1" selected="0">
            <x v="0"/>
          </reference>
          <reference field="0" count="1" selected="0">
            <x v="4"/>
          </reference>
        </references>
      </pivotArea>
    </chartFormat>
    <chartFormat chart="2" format="20">
      <pivotArea type="data" outline="0" fieldPosition="0">
        <references count="2">
          <reference field="4294967294" count="1" selected="0">
            <x v="0"/>
          </reference>
          <reference field="0"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3" cacheId="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A3:B10" firstHeaderRow="1" firstDataRow="1" firstDataCol="1"/>
  <pivotFields count="2">
    <pivotField axis="axisRow" showAll="0">
      <items count="7">
        <item x="0"/>
        <item x="1"/>
        <item x="2"/>
        <item x="3"/>
        <item x="4"/>
        <item x="5"/>
        <item t="default"/>
      </items>
    </pivotField>
    <pivotField dataField="1" showAll="0"/>
  </pivotFields>
  <rowFields count="1">
    <field x="0"/>
  </rowFields>
  <rowItems count="7">
    <i>
      <x/>
    </i>
    <i>
      <x v="1"/>
    </i>
    <i>
      <x v="2"/>
    </i>
    <i>
      <x v="3"/>
    </i>
    <i>
      <x v="4"/>
    </i>
    <i>
      <x v="5"/>
    </i>
    <i t="grand">
      <x/>
    </i>
  </rowItems>
  <colItems count="1">
    <i/>
  </colItems>
  <dataFields count="1">
    <dataField name="Sum of CVD_Cases"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 cacheId="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A3:A10" firstHeaderRow="1" firstDataRow="1" firstDataCol="1"/>
  <pivotFields count="1">
    <pivotField axis="axisRow" showAll="0">
      <items count="7">
        <item x="0"/>
        <item x="1"/>
        <item x="2"/>
        <item x="3"/>
        <item x="4"/>
        <item x="5"/>
        <item t="default"/>
      </items>
    </pivotField>
  </pivotFields>
  <rowFields count="1">
    <field x="0"/>
  </rowFields>
  <rowItems count="7">
    <i>
      <x/>
    </i>
    <i>
      <x v="1"/>
    </i>
    <i>
      <x v="2"/>
    </i>
    <i>
      <x v="3"/>
    </i>
    <i>
      <x v="4"/>
    </i>
    <i>
      <x v="5"/>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Year" sourceName="Year">
  <pivotTables>
    <pivotTable tabId="14" name="PivotTable1"/>
  </pivotTables>
  <data>
    <tabular pivotCacheId="1">
      <items count="6">
        <i x="0" s="1"/>
        <i x="1" s="1"/>
        <i x="2"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Year" cache="Slicer_Year" caption="Year"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Year 1" cache="Slicer_Year" caption="Year" style="SlicerStyleLight2" rowHeight="241300"/>
</slicers>
</file>

<file path=xl/tables/table1.xml><?xml version="1.0" encoding="utf-8"?>
<table xmlns="http://schemas.openxmlformats.org/spreadsheetml/2006/main" id="1" name="Table1" displayName="Table1" ref="A1:S1279" totalsRowShown="0" headerRowDxfId="20" dataDxfId="19">
  <autoFilter ref="A1:S127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autoFilter>
  <tableColumns count="19">
    <tableColumn id="1" name="Country_ID" dataDxfId="18"/>
    <tableColumn id="2" name="Country" dataDxfId="17"/>
    <tableColumn id="3" name="Region" dataDxfId="16"/>
    <tableColumn id="4" name="Year" dataDxfId="15"/>
    <tableColumn id="5" name="Age_Group" dataDxfId="14"/>
    <tableColumn id="6" name="Population" dataDxfId="13"/>
    <tableColumn id="7" name="Male_Population" dataDxfId="12"/>
    <tableColumn id="8" name="Female_Population" dataDxfId="11"/>
    <tableColumn id="9" name="CVD_Cases" dataDxfId="10"/>
    <tableColumn id="10" name="CVD_Deaths" dataDxfId="9"/>
    <tableColumn id="11" name="CVD_Prevalence_%" dataDxfId="8"/>
    <tableColumn id="12" name="Smoking_Rate_%" dataDxfId="7"/>
    <tableColumn id="13" name="Obesity_Rate_%" dataDxfId="6"/>
    <tableColumn id="14" name="Diabetes_Rate_%" dataDxfId="5"/>
    <tableColumn id="15" name="Hypertension_Rate_%" dataDxfId="4"/>
    <tableColumn id="16" name="Physical_Inactivity_%" dataDxfId="3"/>
    <tableColumn id="17" name="Health_Expenditure_USD" dataDxfId="2"/>
    <tableColumn id="18" name="Risk_Index" dataDxfId="1"/>
    <tableColumn id="19" name="Life_Expectancy" dataDxfId="0"/>
  </tableColumns>
  <tableStyleInfo name="TableStyleMedium2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0.xml"/><Relationship Id="rId1" Type="http://schemas.openxmlformats.org/officeDocument/2006/relationships/pivotTable" Target="../pivotTables/pivotTable11.xml"/></Relationships>
</file>

<file path=xl/worksheets/_rels/sheet13.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drawing" Target="../drawings/drawing11.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279"/>
  <sheetViews>
    <sheetView workbookViewId="0"/>
  </sheetViews>
  <sheetFormatPr defaultRowHeight="14.25"/>
  <cols>
    <col min="1" max="1" width="11.375" customWidth="1"/>
    <col min="2" max="2" width="13.25" customWidth="1"/>
    <col min="3" max="3" width="12.875" customWidth="1"/>
    <col min="4" max="4" width="9" customWidth="1"/>
    <col min="5" max="5" width="11.5" customWidth="1"/>
    <col min="6" max="6" width="11.25" customWidth="1"/>
    <col min="7" max="7" width="16.125" customWidth="1"/>
    <col min="8" max="8" width="17.875" customWidth="1"/>
    <col min="9" max="9" width="11.25" customWidth="1"/>
    <col min="10" max="10" width="12.25" customWidth="1"/>
    <col min="11" max="11" width="17.75" customWidth="1"/>
    <col min="12" max="12" width="16" customWidth="1"/>
    <col min="13" max="13" width="15.375" customWidth="1"/>
    <col min="14" max="14" width="16.25" customWidth="1"/>
    <col min="15" max="15" width="19.875" customWidth="1"/>
    <col min="16" max="16" width="19.25" customWidth="1"/>
    <col min="17" max="17" width="22.375" customWidth="1"/>
    <col min="18" max="18" width="11.125" customWidth="1"/>
    <col min="19" max="19" width="15.125" customWidth="1"/>
  </cols>
  <sheetData>
    <row r="1" spans="1:19" ht="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ht="15">
      <c r="A2" s="1">
        <v>1</v>
      </c>
      <c r="B2" s="1" t="s">
        <v>19</v>
      </c>
      <c r="C2" s="1" t="s">
        <v>20</v>
      </c>
      <c r="D2" s="1">
        <v>2021</v>
      </c>
      <c r="E2" s="1" t="s">
        <v>21</v>
      </c>
      <c r="F2" s="1">
        <v>95164550</v>
      </c>
      <c r="G2" s="1">
        <v>49297001</v>
      </c>
      <c r="H2" s="1">
        <v>45867549</v>
      </c>
      <c r="I2" s="1">
        <v>5444171</v>
      </c>
      <c r="J2" s="1">
        <v>421555</v>
      </c>
      <c r="K2" s="1">
        <v>5.72</v>
      </c>
      <c r="L2" s="1">
        <v>16.239999999999998</v>
      </c>
      <c r="M2" s="1">
        <v>20.58</v>
      </c>
      <c r="N2" s="1">
        <v>13.28</v>
      </c>
      <c r="O2" s="1">
        <v>28.18</v>
      </c>
      <c r="P2" s="1">
        <v>28.74</v>
      </c>
      <c r="Q2" s="1">
        <v>816.93</v>
      </c>
      <c r="R2" s="1">
        <v>63</v>
      </c>
      <c r="S2" s="1">
        <v>77.3</v>
      </c>
    </row>
    <row r="3" spans="1:19" ht="15">
      <c r="A3" s="1">
        <v>1</v>
      </c>
      <c r="B3" s="1" t="s">
        <v>19</v>
      </c>
      <c r="C3" s="1" t="s">
        <v>20</v>
      </c>
      <c r="D3" s="1">
        <v>2021</v>
      </c>
      <c r="E3" s="1" t="s">
        <v>22</v>
      </c>
      <c r="F3" s="1">
        <v>167739055</v>
      </c>
      <c r="G3" s="1">
        <v>82727101</v>
      </c>
      <c r="H3" s="1">
        <v>85011954</v>
      </c>
      <c r="I3" s="1">
        <v>14999467</v>
      </c>
      <c r="J3" s="1">
        <v>677372</v>
      </c>
      <c r="K3" s="1">
        <v>8.94</v>
      </c>
      <c r="L3" s="1">
        <v>19.07</v>
      </c>
      <c r="M3" s="1">
        <v>13.35</v>
      </c>
      <c r="N3" s="1">
        <v>9.0299999999999994</v>
      </c>
      <c r="O3" s="1">
        <v>24.07</v>
      </c>
      <c r="P3" s="1">
        <v>21.56</v>
      </c>
      <c r="Q3" s="1">
        <v>9129.19</v>
      </c>
      <c r="R3" s="1">
        <v>64</v>
      </c>
      <c r="S3" s="1">
        <v>66.400000000000006</v>
      </c>
    </row>
    <row r="4" spans="1:19" ht="15">
      <c r="A4" s="1">
        <v>1</v>
      </c>
      <c r="B4" s="1" t="s">
        <v>19</v>
      </c>
      <c r="C4" s="1" t="s">
        <v>20</v>
      </c>
      <c r="D4" s="1">
        <v>2021</v>
      </c>
      <c r="E4" s="1" t="s">
        <v>23</v>
      </c>
      <c r="F4" s="1">
        <v>100150760</v>
      </c>
      <c r="G4" s="1">
        <v>52001227</v>
      </c>
      <c r="H4" s="1">
        <v>48149533</v>
      </c>
      <c r="I4" s="1">
        <v>9823072</v>
      </c>
      <c r="J4" s="1">
        <v>650675</v>
      </c>
      <c r="K4" s="1">
        <v>9.81</v>
      </c>
      <c r="L4" s="1">
        <v>20.82</v>
      </c>
      <c r="M4" s="1">
        <v>16.920000000000002</v>
      </c>
      <c r="N4" s="1">
        <v>6.61</v>
      </c>
      <c r="O4" s="1">
        <v>39.4</v>
      </c>
      <c r="P4" s="1">
        <v>27.9</v>
      </c>
      <c r="Q4" s="1">
        <v>1832.45</v>
      </c>
      <c r="R4" s="1">
        <v>61</v>
      </c>
      <c r="S4" s="1">
        <v>74.3</v>
      </c>
    </row>
    <row r="5" spans="1:19" ht="15">
      <c r="A5" s="1">
        <v>1</v>
      </c>
      <c r="B5" s="1" t="s">
        <v>19</v>
      </c>
      <c r="C5" s="1" t="s">
        <v>20</v>
      </c>
      <c r="D5" s="1">
        <v>2022</v>
      </c>
      <c r="E5" s="1" t="s">
        <v>21</v>
      </c>
      <c r="F5" s="1">
        <v>91664139</v>
      </c>
      <c r="G5" s="1">
        <v>46246403</v>
      </c>
      <c r="H5" s="1">
        <v>45417736</v>
      </c>
      <c r="I5" s="1">
        <v>8787372</v>
      </c>
      <c r="J5" s="1">
        <v>281017</v>
      </c>
      <c r="K5" s="1">
        <v>9.59</v>
      </c>
      <c r="L5" s="1">
        <v>20.57</v>
      </c>
      <c r="M5" s="1">
        <v>21.48</v>
      </c>
      <c r="N5" s="1">
        <v>5.62</v>
      </c>
      <c r="O5" s="1">
        <v>32.83</v>
      </c>
      <c r="P5" s="1">
        <v>36.32</v>
      </c>
      <c r="Q5" s="1">
        <v>7318.82</v>
      </c>
      <c r="R5" s="1">
        <v>74</v>
      </c>
      <c r="S5" s="1">
        <v>66</v>
      </c>
    </row>
    <row r="6" spans="1:19" ht="15">
      <c r="A6" s="1">
        <v>1</v>
      </c>
      <c r="B6" s="1" t="s">
        <v>19</v>
      </c>
      <c r="C6" s="1" t="s">
        <v>20</v>
      </c>
      <c r="D6" s="1">
        <v>2022</v>
      </c>
      <c r="E6" s="1" t="s">
        <v>22</v>
      </c>
      <c r="F6" s="1">
        <v>69582762</v>
      </c>
      <c r="G6" s="1">
        <v>34817810</v>
      </c>
      <c r="H6" s="1">
        <v>34764952</v>
      </c>
      <c r="I6" s="1">
        <v>5256591</v>
      </c>
      <c r="J6" s="1">
        <v>355616</v>
      </c>
      <c r="K6" s="1">
        <v>7.55</v>
      </c>
      <c r="L6" s="1">
        <v>12.96</v>
      </c>
      <c r="M6" s="1">
        <v>30.49</v>
      </c>
      <c r="N6" s="1">
        <v>11.83</v>
      </c>
      <c r="O6" s="1">
        <v>35.74</v>
      </c>
      <c r="P6" s="1">
        <v>19.79</v>
      </c>
      <c r="Q6" s="1">
        <v>9727.19</v>
      </c>
      <c r="R6" s="1">
        <v>77</v>
      </c>
      <c r="S6" s="1">
        <v>64.400000000000006</v>
      </c>
    </row>
    <row r="7" spans="1:19" ht="15">
      <c r="A7" s="1">
        <v>1</v>
      </c>
      <c r="B7" s="1" t="s">
        <v>19</v>
      </c>
      <c r="C7" s="1" t="s">
        <v>20</v>
      </c>
      <c r="D7" s="1">
        <v>2022</v>
      </c>
      <c r="E7" s="1" t="s">
        <v>23</v>
      </c>
      <c r="F7" s="1">
        <v>96418285</v>
      </c>
      <c r="G7" s="1">
        <v>49579157</v>
      </c>
      <c r="H7" s="1">
        <v>46839128</v>
      </c>
      <c r="I7" s="1">
        <v>8973088</v>
      </c>
      <c r="J7" s="1">
        <v>662454</v>
      </c>
      <c r="K7" s="1">
        <v>9.31</v>
      </c>
      <c r="L7" s="1">
        <v>19.440000000000001</v>
      </c>
      <c r="M7" s="1">
        <v>16.850000000000001</v>
      </c>
      <c r="N7" s="1">
        <v>5.07</v>
      </c>
      <c r="O7" s="1">
        <v>32.909999999999997</v>
      </c>
      <c r="P7" s="1">
        <v>33</v>
      </c>
      <c r="Q7" s="1">
        <v>10109.049999999999</v>
      </c>
      <c r="R7" s="1">
        <v>43</v>
      </c>
      <c r="S7" s="1">
        <v>66.5</v>
      </c>
    </row>
    <row r="8" spans="1:19" ht="15">
      <c r="A8" s="1">
        <v>1</v>
      </c>
      <c r="B8" s="1" t="s">
        <v>19</v>
      </c>
      <c r="C8" s="1" t="s">
        <v>20</v>
      </c>
      <c r="D8" s="1">
        <v>2023</v>
      </c>
      <c r="E8" s="1" t="s">
        <v>21</v>
      </c>
      <c r="F8" s="1">
        <v>94536589</v>
      </c>
      <c r="G8" s="1">
        <v>47795171</v>
      </c>
      <c r="H8" s="1">
        <v>46741418</v>
      </c>
      <c r="I8" s="1">
        <v>8532186</v>
      </c>
      <c r="J8" s="1">
        <v>667076</v>
      </c>
      <c r="K8" s="1">
        <v>9.0299999999999994</v>
      </c>
      <c r="L8" s="1">
        <v>13.01</v>
      </c>
      <c r="M8" s="1">
        <v>22.06</v>
      </c>
      <c r="N8" s="1">
        <v>13.95</v>
      </c>
      <c r="O8" s="1">
        <v>28.45</v>
      </c>
      <c r="P8" s="1">
        <v>29.74</v>
      </c>
      <c r="Q8" s="1">
        <v>781.64</v>
      </c>
      <c r="R8" s="1">
        <v>49</v>
      </c>
      <c r="S8" s="1">
        <v>75.5</v>
      </c>
    </row>
    <row r="9" spans="1:19" ht="15">
      <c r="A9" s="1">
        <v>1</v>
      </c>
      <c r="B9" s="1" t="s">
        <v>19</v>
      </c>
      <c r="C9" s="1" t="s">
        <v>20</v>
      </c>
      <c r="D9" s="1">
        <v>2023</v>
      </c>
      <c r="E9" s="1" t="s">
        <v>22</v>
      </c>
      <c r="F9" s="1">
        <v>91157228</v>
      </c>
      <c r="G9" s="1">
        <v>46770313</v>
      </c>
      <c r="H9" s="1">
        <v>44386915</v>
      </c>
      <c r="I9" s="1">
        <v>8593940</v>
      </c>
      <c r="J9" s="1">
        <v>541570</v>
      </c>
      <c r="K9" s="1">
        <v>9.43</v>
      </c>
      <c r="L9" s="1">
        <v>14.91</v>
      </c>
      <c r="M9" s="1">
        <v>29.21</v>
      </c>
      <c r="N9" s="1">
        <v>7.12</v>
      </c>
      <c r="O9" s="1">
        <v>36.630000000000003</v>
      </c>
      <c r="P9" s="1">
        <v>16.57</v>
      </c>
      <c r="Q9" s="1">
        <v>9993.11</v>
      </c>
      <c r="R9" s="1">
        <v>81</v>
      </c>
      <c r="S9" s="1">
        <v>63.8</v>
      </c>
    </row>
    <row r="10" spans="1:19" ht="15">
      <c r="A10" s="1">
        <v>1</v>
      </c>
      <c r="B10" s="1" t="s">
        <v>19</v>
      </c>
      <c r="C10" s="1" t="s">
        <v>20</v>
      </c>
      <c r="D10" s="1">
        <v>2023</v>
      </c>
      <c r="E10" s="1" t="s">
        <v>23</v>
      </c>
      <c r="F10" s="1">
        <v>29995044</v>
      </c>
      <c r="G10" s="1">
        <v>14777644</v>
      </c>
      <c r="H10" s="1">
        <v>15217400</v>
      </c>
      <c r="I10" s="1">
        <v>2536586</v>
      </c>
      <c r="J10" s="1">
        <v>98745</v>
      </c>
      <c r="K10" s="1">
        <v>8.4600000000000009</v>
      </c>
      <c r="L10" s="1">
        <v>17.93</v>
      </c>
      <c r="M10" s="1">
        <v>10.15</v>
      </c>
      <c r="N10" s="1">
        <v>7.62</v>
      </c>
      <c r="O10" s="1">
        <v>28.42</v>
      </c>
      <c r="P10" s="1">
        <v>17.649999999999999</v>
      </c>
      <c r="Q10" s="1">
        <v>7781.34</v>
      </c>
      <c r="R10" s="1">
        <v>56</v>
      </c>
      <c r="S10" s="1">
        <v>68.7</v>
      </c>
    </row>
    <row r="11" spans="1:19" ht="15">
      <c r="A11" s="1">
        <v>1</v>
      </c>
      <c r="B11" s="1" t="s">
        <v>19</v>
      </c>
      <c r="C11" s="1" t="s">
        <v>20</v>
      </c>
      <c r="D11" s="1">
        <v>2024</v>
      </c>
      <c r="E11" s="1" t="s">
        <v>21</v>
      </c>
      <c r="F11" s="1">
        <v>5874572</v>
      </c>
      <c r="G11" s="1">
        <v>2973441</v>
      </c>
      <c r="H11" s="1">
        <v>2901131</v>
      </c>
      <c r="I11" s="1">
        <v>420392</v>
      </c>
      <c r="J11" s="1">
        <v>30842</v>
      </c>
      <c r="K11" s="1">
        <v>7.16</v>
      </c>
      <c r="L11" s="1">
        <v>22.64</v>
      </c>
      <c r="M11" s="1">
        <v>30.26</v>
      </c>
      <c r="N11" s="1">
        <v>8.42</v>
      </c>
      <c r="O11" s="1">
        <v>30.87</v>
      </c>
      <c r="P11" s="1">
        <v>19.91</v>
      </c>
      <c r="Q11" s="1">
        <v>11955.62</v>
      </c>
      <c r="R11" s="1">
        <v>72</v>
      </c>
      <c r="S11" s="1">
        <v>65.599999999999994</v>
      </c>
    </row>
    <row r="12" spans="1:19" ht="15">
      <c r="A12" s="1">
        <v>1</v>
      </c>
      <c r="B12" s="1" t="s">
        <v>19</v>
      </c>
      <c r="C12" s="1" t="s">
        <v>20</v>
      </c>
      <c r="D12" s="1">
        <v>2024</v>
      </c>
      <c r="E12" s="1" t="s">
        <v>22</v>
      </c>
      <c r="F12" s="1">
        <v>30204878</v>
      </c>
      <c r="G12" s="1">
        <v>14586769</v>
      </c>
      <c r="H12" s="1">
        <v>15618109</v>
      </c>
      <c r="I12" s="1">
        <v>1899589</v>
      </c>
      <c r="J12" s="1">
        <v>129469</v>
      </c>
      <c r="K12" s="1">
        <v>6.29</v>
      </c>
      <c r="L12" s="1">
        <v>23.96</v>
      </c>
      <c r="M12" s="1">
        <v>13.22</v>
      </c>
      <c r="N12" s="1">
        <v>8.76</v>
      </c>
      <c r="O12" s="1">
        <v>28.42</v>
      </c>
      <c r="P12" s="1">
        <v>31.62</v>
      </c>
      <c r="Q12" s="1">
        <v>5743.18</v>
      </c>
      <c r="R12" s="1">
        <v>51</v>
      </c>
      <c r="S12" s="1">
        <v>73.5</v>
      </c>
    </row>
    <row r="13" spans="1:19" ht="15">
      <c r="A13" s="1">
        <v>1</v>
      </c>
      <c r="B13" s="1" t="s">
        <v>19</v>
      </c>
      <c r="C13" s="1" t="s">
        <v>20</v>
      </c>
      <c r="D13" s="1">
        <v>2024</v>
      </c>
      <c r="E13" s="1" t="s">
        <v>23</v>
      </c>
      <c r="F13" s="1">
        <v>91571160</v>
      </c>
      <c r="G13" s="1">
        <v>46615118</v>
      </c>
      <c r="H13" s="1">
        <v>44956042</v>
      </c>
      <c r="I13" s="1">
        <v>6249764</v>
      </c>
      <c r="J13" s="1">
        <v>327611</v>
      </c>
      <c r="K13" s="1">
        <v>6.83</v>
      </c>
      <c r="L13" s="1">
        <v>17.350000000000001</v>
      </c>
      <c r="M13" s="1">
        <v>12.74</v>
      </c>
      <c r="N13" s="1">
        <v>7.03</v>
      </c>
      <c r="O13" s="1">
        <v>25.68</v>
      </c>
      <c r="P13" s="1">
        <v>22.85</v>
      </c>
      <c r="Q13" s="1">
        <v>4100.05</v>
      </c>
      <c r="R13" s="1">
        <v>77</v>
      </c>
      <c r="S13" s="1">
        <v>73.3</v>
      </c>
    </row>
    <row r="14" spans="1:19" ht="15">
      <c r="A14" s="1">
        <v>1</v>
      </c>
      <c r="B14" s="1" t="s">
        <v>19</v>
      </c>
      <c r="C14" s="1" t="s">
        <v>20</v>
      </c>
      <c r="D14" s="1">
        <v>2025</v>
      </c>
      <c r="E14" s="1" t="s">
        <v>21</v>
      </c>
      <c r="F14" s="1">
        <v>28438921</v>
      </c>
      <c r="G14" s="1">
        <v>14531906</v>
      </c>
      <c r="H14" s="1">
        <v>13907015</v>
      </c>
      <c r="I14" s="1">
        <v>2546895</v>
      </c>
      <c r="J14" s="1">
        <v>173095</v>
      </c>
      <c r="K14" s="1">
        <v>8.9600000000000009</v>
      </c>
      <c r="L14" s="1">
        <v>21.94</v>
      </c>
      <c r="M14" s="1">
        <v>32.94</v>
      </c>
      <c r="N14" s="1">
        <v>11.9</v>
      </c>
      <c r="O14" s="1">
        <v>30.01</v>
      </c>
      <c r="P14" s="1">
        <v>16.93</v>
      </c>
      <c r="Q14" s="1">
        <v>6117.17</v>
      </c>
      <c r="R14" s="1">
        <v>83</v>
      </c>
      <c r="S14" s="1">
        <v>64.900000000000006</v>
      </c>
    </row>
    <row r="15" spans="1:19" ht="15">
      <c r="A15" s="1">
        <v>1</v>
      </c>
      <c r="B15" s="1" t="s">
        <v>19</v>
      </c>
      <c r="C15" s="1" t="s">
        <v>20</v>
      </c>
      <c r="D15" s="1">
        <v>2025</v>
      </c>
      <c r="E15" s="1" t="s">
        <v>22</v>
      </c>
      <c r="F15" s="1">
        <v>53483526</v>
      </c>
      <c r="G15" s="1">
        <v>26754737</v>
      </c>
      <c r="H15" s="1">
        <v>26728789</v>
      </c>
      <c r="I15" s="1">
        <v>4773632</v>
      </c>
      <c r="J15" s="1">
        <v>213621</v>
      </c>
      <c r="K15" s="1">
        <v>8.93</v>
      </c>
      <c r="L15" s="1">
        <v>25.38</v>
      </c>
      <c r="M15" s="1">
        <v>23.14</v>
      </c>
      <c r="N15" s="1">
        <v>6.49</v>
      </c>
      <c r="O15" s="1">
        <v>39.299999999999997</v>
      </c>
      <c r="P15" s="1">
        <v>25.04</v>
      </c>
      <c r="Q15" s="1">
        <v>3895.19</v>
      </c>
      <c r="R15" s="1">
        <v>45</v>
      </c>
      <c r="S15" s="1">
        <v>79.5</v>
      </c>
    </row>
    <row r="16" spans="1:19" ht="15">
      <c r="A16" s="1">
        <v>1</v>
      </c>
      <c r="B16" s="1" t="s">
        <v>19</v>
      </c>
      <c r="C16" s="1" t="s">
        <v>20</v>
      </c>
      <c r="D16" s="1">
        <v>2025</v>
      </c>
      <c r="E16" s="1" t="s">
        <v>23</v>
      </c>
      <c r="F16" s="1">
        <v>160850987</v>
      </c>
      <c r="G16" s="1">
        <v>81928423</v>
      </c>
      <c r="H16" s="1">
        <v>78922564</v>
      </c>
      <c r="I16" s="1">
        <v>9553139</v>
      </c>
      <c r="J16" s="1">
        <v>474070</v>
      </c>
      <c r="K16" s="1">
        <v>5.94</v>
      </c>
      <c r="L16" s="1">
        <v>14.64</v>
      </c>
      <c r="M16" s="1">
        <v>31.03</v>
      </c>
      <c r="N16" s="1">
        <v>8.9</v>
      </c>
      <c r="O16" s="1">
        <v>39.49</v>
      </c>
      <c r="P16" s="1">
        <v>30.63</v>
      </c>
      <c r="Q16" s="1">
        <v>8476.66</v>
      </c>
      <c r="R16" s="1">
        <v>45</v>
      </c>
      <c r="S16" s="1">
        <v>72</v>
      </c>
    </row>
    <row r="17" spans="1:19" ht="15">
      <c r="A17" s="1">
        <v>1</v>
      </c>
      <c r="B17" s="1" t="s">
        <v>19</v>
      </c>
      <c r="C17" s="1" t="s">
        <v>20</v>
      </c>
      <c r="D17" s="1">
        <v>2026</v>
      </c>
      <c r="E17" s="1" t="s">
        <v>21</v>
      </c>
      <c r="F17" s="1">
        <v>107202637</v>
      </c>
      <c r="G17" s="1">
        <v>53153453</v>
      </c>
      <c r="H17" s="1">
        <v>54049184</v>
      </c>
      <c r="I17" s="1">
        <v>10403663</v>
      </c>
      <c r="J17" s="1">
        <v>416772</v>
      </c>
      <c r="K17" s="1">
        <v>9.6999999999999993</v>
      </c>
      <c r="L17" s="1">
        <v>29.76</v>
      </c>
      <c r="M17" s="1">
        <v>28.96</v>
      </c>
      <c r="N17" s="1">
        <v>8.6</v>
      </c>
      <c r="O17" s="1">
        <v>32.83</v>
      </c>
      <c r="P17" s="1">
        <v>24.52</v>
      </c>
      <c r="Q17" s="1">
        <v>4887.17</v>
      </c>
      <c r="R17" s="1">
        <v>53</v>
      </c>
      <c r="S17" s="1">
        <v>71.599999999999994</v>
      </c>
    </row>
    <row r="18" spans="1:19" ht="15">
      <c r="A18" s="1">
        <v>1</v>
      </c>
      <c r="B18" s="1" t="s">
        <v>19</v>
      </c>
      <c r="C18" s="1" t="s">
        <v>20</v>
      </c>
      <c r="D18" s="1">
        <v>2026</v>
      </c>
      <c r="E18" s="1" t="s">
        <v>22</v>
      </c>
      <c r="F18" s="1">
        <v>5136427</v>
      </c>
      <c r="G18" s="1">
        <v>2566892</v>
      </c>
      <c r="H18" s="1">
        <v>2569535</v>
      </c>
      <c r="I18" s="1">
        <v>506348</v>
      </c>
      <c r="J18" s="1">
        <v>22417</v>
      </c>
      <c r="K18" s="1">
        <v>9.86</v>
      </c>
      <c r="L18" s="1">
        <v>24.96</v>
      </c>
      <c r="M18" s="1">
        <v>21.07</v>
      </c>
      <c r="N18" s="1">
        <v>7.09</v>
      </c>
      <c r="O18" s="1">
        <v>38.1</v>
      </c>
      <c r="P18" s="1">
        <v>15.42</v>
      </c>
      <c r="Q18" s="1">
        <v>3990.35</v>
      </c>
      <c r="R18" s="1">
        <v>40</v>
      </c>
      <c r="S18" s="1">
        <v>83</v>
      </c>
    </row>
    <row r="19" spans="1:19" ht="15">
      <c r="A19" s="1">
        <v>1</v>
      </c>
      <c r="B19" s="1" t="s">
        <v>19</v>
      </c>
      <c r="C19" s="1" t="s">
        <v>20</v>
      </c>
      <c r="D19" s="1">
        <v>2026</v>
      </c>
      <c r="E19" s="1" t="s">
        <v>23</v>
      </c>
      <c r="F19" s="1">
        <v>78049312</v>
      </c>
      <c r="G19" s="1">
        <v>40114363</v>
      </c>
      <c r="H19" s="1">
        <v>37934949</v>
      </c>
      <c r="I19" s="1">
        <v>6266123</v>
      </c>
      <c r="J19" s="1">
        <v>440519</v>
      </c>
      <c r="K19" s="1">
        <v>8.0299999999999994</v>
      </c>
      <c r="L19" s="1">
        <v>22.61</v>
      </c>
      <c r="M19" s="1">
        <v>19.07</v>
      </c>
      <c r="N19" s="1">
        <v>12.61</v>
      </c>
      <c r="O19" s="1">
        <v>20.53</v>
      </c>
      <c r="P19" s="1">
        <v>26.17</v>
      </c>
      <c r="Q19" s="1">
        <v>4776.33</v>
      </c>
      <c r="R19" s="1">
        <v>51</v>
      </c>
      <c r="S19" s="1">
        <v>71</v>
      </c>
    </row>
    <row r="20" spans="1:19" ht="15">
      <c r="A20" s="1">
        <v>2</v>
      </c>
      <c r="B20" s="1" t="s">
        <v>24</v>
      </c>
      <c r="C20" s="1" t="s">
        <v>20</v>
      </c>
      <c r="D20" s="1">
        <v>2021</v>
      </c>
      <c r="E20" s="1" t="s">
        <v>21</v>
      </c>
      <c r="F20" s="1">
        <v>158943932</v>
      </c>
      <c r="G20" s="1">
        <v>77707732</v>
      </c>
      <c r="H20" s="1">
        <v>81236200</v>
      </c>
      <c r="I20" s="1">
        <v>12413931</v>
      </c>
      <c r="J20" s="1">
        <v>613104</v>
      </c>
      <c r="K20" s="1">
        <v>7.81</v>
      </c>
      <c r="L20" s="1">
        <v>25.83</v>
      </c>
      <c r="M20" s="1">
        <v>25.13</v>
      </c>
      <c r="N20" s="1">
        <v>13.61</v>
      </c>
      <c r="O20" s="1">
        <v>34.65</v>
      </c>
      <c r="P20" s="1">
        <v>30.05</v>
      </c>
      <c r="Q20" s="1">
        <v>3807.58</v>
      </c>
      <c r="R20" s="1">
        <v>45</v>
      </c>
      <c r="S20" s="1">
        <v>78</v>
      </c>
    </row>
    <row r="21" spans="1:19" ht="15">
      <c r="A21" s="1">
        <v>2</v>
      </c>
      <c r="B21" s="1" t="s">
        <v>24</v>
      </c>
      <c r="C21" s="1" t="s">
        <v>20</v>
      </c>
      <c r="D21" s="1">
        <v>2021</v>
      </c>
      <c r="E21" s="1" t="s">
        <v>22</v>
      </c>
      <c r="F21" s="1">
        <v>158194096</v>
      </c>
      <c r="G21" s="1">
        <v>76409084</v>
      </c>
      <c r="H21" s="1">
        <v>81785012</v>
      </c>
      <c r="I21" s="1">
        <v>15525679</v>
      </c>
      <c r="J21" s="1">
        <v>884972</v>
      </c>
      <c r="K21" s="1">
        <v>9.81</v>
      </c>
      <c r="L21" s="1">
        <v>25.48</v>
      </c>
      <c r="M21" s="1">
        <v>23.23</v>
      </c>
      <c r="N21" s="1">
        <v>11.12</v>
      </c>
      <c r="O21" s="1">
        <v>20.68</v>
      </c>
      <c r="P21" s="1">
        <v>19.670000000000002</v>
      </c>
      <c r="Q21" s="1">
        <v>8258.93</v>
      </c>
      <c r="R21" s="1">
        <v>51</v>
      </c>
      <c r="S21" s="1">
        <v>73.099999999999994</v>
      </c>
    </row>
    <row r="22" spans="1:19" ht="15">
      <c r="A22" s="1">
        <v>2</v>
      </c>
      <c r="B22" s="1" t="s">
        <v>24</v>
      </c>
      <c r="C22" s="1" t="s">
        <v>20</v>
      </c>
      <c r="D22" s="1">
        <v>2021</v>
      </c>
      <c r="E22" s="1" t="s">
        <v>23</v>
      </c>
      <c r="F22" s="1">
        <v>118230824</v>
      </c>
      <c r="G22" s="1">
        <v>61253163</v>
      </c>
      <c r="H22" s="1">
        <v>56977661</v>
      </c>
      <c r="I22" s="1">
        <v>6824009</v>
      </c>
      <c r="J22" s="1">
        <v>378835</v>
      </c>
      <c r="K22" s="1">
        <v>5.77</v>
      </c>
      <c r="L22" s="1">
        <v>12.88</v>
      </c>
      <c r="M22" s="1">
        <v>27.93</v>
      </c>
      <c r="N22" s="1">
        <v>7.76</v>
      </c>
      <c r="O22" s="1">
        <v>22.68</v>
      </c>
      <c r="P22" s="1">
        <v>16.149999999999999</v>
      </c>
      <c r="Q22" s="1">
        <v>2510.61</v>
      </c>
      <c r="R22" s="1">
        <v>47</v>
      </c>
      <c r="S22" s="1">
        <v>64.400000000000006</v>
      </c>
    </row>
    <row r="23" spans="1:19" ht="15">
      <c r="A23" s="1">
        <v>2</v>
      </c>
      <c r="B23" s="1" t="s">
        <v>24</v>
      </c>
      <c r="C23" s="1" t="s">
        <v>20</v>
      </c>
      <c r="D23" s="1">
        <v>2022</v>
      </c>
      <c r="E23" s="1" t="s">
        <v>21</v>
      </c>
      <c r="F23" s="1">
        <v>125565903</v>
      </c>
      <c r="G23" s="1">
        <v>62537037</v>
      </c>
      <c r="H23" s="1">
        <v>63028866</v>
      </c>
      <c r="I23" s="1">
        <v>12288471</v>
      </c>
      <c r="J23" s="1">
        <v>954907</v>
      </c>
      <c r="K23" s="1">
        <v>9.7899999999999991</v>
      </c>
      <c r="L23" s="1">
        <v>25.93</v>
      </c>
      <c r="M23" s="1">
        <v>26.79</v>
      </c>
      <c r="N23" s="1">
        <v>13.45</v>
      </c>
      <c r="O23" s="1">
        <v>38.78</v>
      </c>
      <c r="P23" s="1">
        <v>15.57</v>
      </c>
      <c r="Q23" s="1">
        <v>1858.21</v>
      </c>
      <c r="R23" s="1">
        <v>64</v>
      </c>
      <c r="S23" s="1">
        <v>68.3</v>
      </c>
    </row>
    <row r="24" spans="1:19" ht="15">
      <c r="A24" s="1">
        <v>2</v>
      </c>
      <c r="B24" s="1" t="s">
        <v>24</v>
      </c>
      <c r="C24" s="1" t="s">
        <v>20</v>
      </c>
      <c r="D24" s="1">
        <v>2022</v>
      </c>
      <c r="E24" s="1" t="s">
        <v>22</v>
      </c>
      <c r="F24" s="1">
        <v>31551274</v>
      </c>
      <c r="G24" s="1">
        <v>15901241</v>
      </c>
      <c r="H24" s="1">
        <v>15650033</v>
      </c>
      <c r="I24" s="1">
        <v>1988304</v>
      </c>
      <c r="J24" s="1">
        <v>85928</v>
      </c>
      <c r="K24" s="1">
        <v>6.3</v>
      </c>
      <c r="L24" s="1">
        <v>15.77</v>
      </c>
      <c r="M24" s="1">
        <v>12.44</v>
      </c>
      <c r="N24" s="1">
        <v>12.41</v>
      </c>
      <c r="O24" s="1">
        <v>33.01</v>
      </c>
      <c r="P24" s="1">
        <v>30.16</v>
      </c>
      <c r="Q24" s="1">
        <v>891.52</v>
      </c>
      <c r="R24" s="1">
        <v>44</v>
      </c>
      <c r="S24" s="1">
        <v>69.900000000000006</v>
      </c>
    </row>
    <row r="25" spans="1:19" ht="15">
      <c r="A25" s="1">
        <v>2</v>
      </c>
      <c r="B25" s="1" t="s">
        <v>24</v>
      </c>
      <c r="C25" s="1" t="s">
        <v>20</v>
      </c>
      <c r="D25" s="1">
        <v>2022</v>
      </c>
      <c r="E25" s="1" t="s">
        <v>23</v>
      </c>
      <c r="F25" s="1">
        <v>144602468</v>
      </c>
      <c r="G25" s="1">
        <v>70313509</v>
      </c>
      <c r="H25" s="1">
        <v>74288959</v>
      </c>
      <c r="I25" s="1">
        <v>10018477</v>
      </c>
      <c r="J25" s="1">
        <v>310489</v>
      </c>
      <c r="K25" s="1">
        <v>6.93</v>
      </c>
      <c r="L25" s="1">
        <v>11.64</v>
      </c>
      <c r="M25" s="1">
        <v>15.41</v>
      </c>
      <c r="N25" s="1">
        <v>9.15</v>
      </c>
      <c r="O25" s="1">
        <v>29.26</v>
      </c>
      <c r="P25" s="1">
        <v>37.11</v>
      </c>
      <c r="Q25" s="1">
        <v>4141.57</v>
      </c>
      <c r="R25" s="1">
        <v>70</v>
      </c>
      <c r="S25" s="1">
        <v>60.5</v>
      </c>
    </row>
    <row r="26" spans="1:19" ht="15">
      <c r="A26" s="1">
        <v>2</v>
      </c>
      <c r="B26" s="1" t="s">
        <v>24</v>
      </c>
      <c r="C26" s="1" t="s">
        <v>20</v>
      </c>
      <c r="D26" s="1">
        <v>2023</v>
      </c>
      <c r="E26" s="1" t="s">
        <v>21</v>
      </c>
      <c r="F26" s="1">
        <v>115190575</v>
      </c>
      <c r="G26" s="1">
        <v>55576443</v>
      </c>
      <c r="H26" s="1">
        <v>59614132</v>
      </c>
      <c r="I26" s="1">
        <v>6295118</v>
      </c>
      <c r="J26" s="1">
        <v>492020</v>
      </c>
      <c r="K26" s="1">
        <v>5.46</v>
      </c>
      <c r="L26" s="1">
        <v>25.07</v>
      </c>
      <c r="M26" s="1">
        <v>18.45</v>
      </c>
      <c r="N26" s="1">
        <v>6.32</v>
      </c>
      <c r="O26" s="1">
        <v>27.73</v>
      </c>
      <c r="P26" s="1">
        <v>23.48</v>
      </c>
      <c r="Q26" s="1">
        <v>10556.07</v>
      </c>
      <c r="R26" s="1">
        <v>77</v>
      </c>
      <c r="S26" s="1">
        <v>69.599999999999994</v>
      </c>
    </row>
    <row r="27" spans="1:19" ht="15">
      <c r="A27" s="1">
        <v>2</v>
      </c>
      <c r="B27" s="1" t="s">
        <v>24</v>
      </c>
      <c r="C27" s="1" t="s">
        <v>20</v>
      </c>
      <c r="D27" s="1">
        <v>2023</v>
      </c>
      <c r="E27" s="1" t="s">
        <v>22</v>
      </c>
      <c r="F27" s="1">
        <v>127806775</v>
      </c>
      <c r="G27" s="1">
        <v>66085331</v>
      </c>
      <c r="H27" s="1">
        <v>61721444</v>
      </c>
      <c r="I27" s="1">
        <v>10367131</v>
      </c>
      <c r="J27" s="1">
        <v>371511</v>
      </c>
      <c r="K27" s="1">
        <v>8.11</v>
      </c>
      <c r="L27" s="1">
        <v>12.26</v>
      </c>
      <c r="M27" s="1">
        <v>21.65</v>
      </c>
      <c r="N27" s="1">
        <v>5.92</v>
      </c>
      <c r="O27" s="1">
        <v>32.64</v>
      </c>
      <c r="P27" s="1">
        <v>30.41</v>
      </c>
      <c r="Q27" s="1">
        <v>868.94</v>
      </c>
      <c r="R27" s="1">
        <v>43</v>
      </c>
      <c r="S27" s="1">
        <v>78.599999999999994</v>
      </c>
    </row>
    <row r="28" spans="1:19" ht="15">
      <c r="A28" s="1">
        <v>2</v>
      </c>
      <c r="B28" s="1" t="s">
        <v>24</v>
      </c>
      <c r="C28" s="1" t="s">
        <v>20</v>
      </c>
      <c r="D28" s="1">
        <v>2023</v>
      </c>
      <c r="E28" s="1" t="s">
        <v>23</v>
      </c>
      <c r="F28" s="1">
        <v>179957605</v>
      </c>
      <c r="G28" s="1">
        <v>92968317</v>
      </c>
      <c r="H28" s="1">
        <v>86989288</v>
      </c>
      <c r="I28" s="1">
        <v>15029219</v>
      </c>
      <c r="J28" s="1">
        <v>971535</v>
      </c>
      <c r="K28" s="1">
        <v>8.35</v>
      </c>
      <c r="L28" s="1">
        <v>13.27</v>
      </c>
      <c r="M28" s="1">
        <v>10.6</v>
      </c>
      <c r="N28" s="1">
        <v>5.66</v>
      </c>
      <c r="O28" s="1">
        <v>39.29</v>
      </c>
      <c r="P28" s="1">
        <v>31.14</v>
      </c>
      <c r="Q28" s="1">
        <v>11389.43</v>
      </c>
      <c r="R28" s="1">
        <v>75</v>
      </c>
      <c r="S28" s="1">
        <v>68</v>
      </c>
    </row>
    <row r="29" spans="1:19" ht="15">
      <c r="A29" s="1">
        <v>2</v>
      </c>
      <c r="B29" s="1" t="s">
        <v>24</v>
      </c>
      <c r="C29" s="1" t="s">
        <v>20</v>
      </c>
      <c r="D29" s="1">
        <v>2024</v>
      </c>
      <c r="E29" s="1" t="s">
        <v>21</v>
      </c>
      <c r="F29" s="1">
        <v>198871738</v>
      </c>
      <c r="G29" s="1">
        <v>95978674</v>
      </c>
      <c r="H29" s="1">
        <v>102893064</v>
      </c>
      <c r="I29" s="1">
        <v>11596262</v>
      </c>
      <c r="J29" s="1">
        <v>508573</v>
      </c>
      <c r="K29" s="1">
        <v>5.83</v>
      </c>
      <c r="L29" s="1">
        <v>21.01</v>
      </c>
      <c r="M29" s="1">
        <v>23.94</v>
      </c>
      <c r="N29" s="1">
        <v>9.99</v>
      </c>
      <c r="O29" s="1">
        <v>28.49</v>
      </c>
      <c r="P29" s="1">
        <v>29.39</v>
      </c>
      <c r="Q29" s="1">
        <v>11616.62</v>
      </c>
      <c r="R29" s="1">
        <v>73</v>
      </c>
      <c r="S29" s="1">
        <v>70.5</v>
      </c>
    </row>
    <row r="30" spans="1:19" ht="15">
      <c r="A30" s="1">
        <v>2</v>
      </c>
      <c r="B30" s="1" t="s">
        <v>24</v>
      </c>
      <c r="C30" s="1" t="s">
        <v>20</v>
      </c>
      <c r="D30" s="1">
        <v>2024</v>
      </c>
      <c r="E30" s="1" t="s">
        <v>22</v>
      </c>
      <c r="F30" s="1">
        <v>191795344</v>
      </c>
      <c r="G30" s="1">
        <v>92490404</v>
      </c>
      <c r="H30" s="1">
        <v>99304940</v>
      </c>
      <c r="I30" s="1">
        <v>13287459</v>
      </c>
      <c r="J30" s="1">
        <v>771002</v>
      </c>
      <c r="K30" s="1">
        <v>6.93</v>
      </c>
      <c r="L30" s="1">
        <v>22.41</v>
      </c>
      <c r="M30" s="1">
        <v>16.25</v>
      </c>
      <c r="N30" s="1">
        <v>8.99</v>
      </c>
      <c r="O30" s="1">
        <v>38.94</v>
      </c>
      <c r="P30" s="1">
        <v>31.22</v>
      </c>
      <c r="Q30" s="1">
        <v>7227.11</v>
      </c>
      <c r="R30" s="1">
        <v>77</v>
      </c>
      <c r="S30" s="1">
        <v>61.5</v>
      </c>
    </row>
    <row r="31" spans="1:19" ht="15">
      <c r="A31" s="1">
        <v>2</v>
      </c>
      <c r="B31" s="1" t="s">
        <v>24</v>
      </c>
      <c r="C31" s="1" t="s">
        <v>20</v>
      </c>
      <c r="D31" s="1">
        <v>2024</v>
      </c>
      <c r="E31" s="1" t="s">
        <v>23</v>
      </c>
      <c r="F31" s="1">
        <v>41792988</v>
      </c>
      <c r="G31" s="1">
        <v>20414033</v>
      </c>
      <c r="H31" s="1">
        <v>21378955</v>
      </c>
      <c r="I31" s="1">
        <v>2377650</v>
      </c>
      <c r="J31" s="1">
        <v>188280</v>
      </c>
      <c r="K31" s="1">
        <v>5.69</v>
      </c>
      <c r="L31" s="1">
        <v>10.050000000000001</v>
      </c>
      <c r="M31" s="1">
        <v>19.149999999999999</v>
      </c>
      <c r="N31" s="1">
        <v>5.58</v>
      </c>
      <c r="O31" s="1">
        <v>32.799999999999997</v>
      </c>
      <c r="P31" s="1">
        <v>16.16</v>
      </c>
      <c r="Q31" s="1">
        <v>1286.71</v>
      </c>
      <c r="R31" s="1">
        <v>42</v>
      </c>
      <c r="S31" s="1">
        <v>61.8</v>
      </c>
    </row>
    <row r="32" spans="1:19" ht="15">
      <c r="A32" s="1">
        <v>2</v>
      </c>
      <c r="B32" s="1" t="s">
        <v>24</v>
      </c>
      <c r="C32" s="1" t="s">
        <v>20</v>
      </c>
      <c r="D32" s="1">
        <v>2025</v>
      </c>
      <c r="E32" s="1" t="s">
        <v>21</v>
      </c>
      <c r="F32" s="1">
        <v>97501781</v>
      </c>
      <c r="G32" s="1">
        <v>49048692</v>
      </c>
      <c r="H32" s="1">
        <v>48453089</v>
      </c>
      <c r="I32" s="1">
        <v>8801722</v>
      </c>
      <c r="J32" s="1">
        <v>381638</v>
      </c>
      <c r="K32" s="1">
        <v>9.0299999999999994</v>
      </c>
      <c r="L32" s="1">
        <v>15.66</v>
      </c>
      <c r="M32" s="1">
        <v>30.61</v>
      </c>
      <c r="N32" s="1">
        <v>12.46</v>
      </c>
      <c r="O32" s="1">
        <v>22.54</v>
      </c>
      <c r="P32" s="1">
        <v>35.159999999999997</v>
      </c>
      <c r="Q32" s="1">
        <v>10059.39</v>
      </c>
      <c r="R32" s="1">
        <v>52</v>
      </c>
      <c r="S32" s="1">
        <v>64.099999999999994</v>
      </c>
    </row>
    <row r="33" spans="1:19" ht="15">
      <c r="A33" s="1">
        <v>2</v>
      </c>
      <c r="B33" s="1" t="s">
        <v>24</v>
      </c>
      <c r="C33" s="1" t="s">
        <v>20</v>
      </c>
      <c r="D33" s="1">
        <v>2025</v>
      </c>
      <c r="E33" s="1" t="s">
        <v>22</v>
      </c>
      <c r="F33" s="1">
        <v>33192722</v>
      </c>
      <c r="G33" s="1">
        <v>16193724</v>
      </c>
      <c r="H33" s="1">
        <v>16998998</v>
      </c>
      <c r="I33" s="1">
        <v>2063745</v>
      </c>
      <c r="J33" s="1">
        <v>112887</v>
      </c>
      <c r="K33" s="1">
        <v>6.22</v>
      </c>
      <c r="L33" s="1">
        <v>20.440000000000001</v>
      </c>
      <c r="M33" s="1">
        <v>21.98</v>
      </c>
      <c r="N33" s="1">
        <v>10.41</v>
      </c>
      <c r="O33" s="1">
        <v>24.26</v>
      </c>
      <c r="P33" s="1">
        <v>34.46</v>
      </c>
      <c r="Q33" s="1">
        <v>3695.26</v>
      </c>
      <c r="R33" s="1">
        <v>68</v>
      </c>
      <c r="S33" s="1">
        <v>81</v>
      </c>
    </row>
    <row r="34" spans="1:19" ht="15">
      <c r="A34" s="1">
        <v>2</v>
      </c>
      <c r="B34" s="1" t="s">
        <v>24</v>
      </c>
      <c r="C34" s="1" t="s">
        <v>20</v>
      </c>
      <c r="D34" s="1">
        <v>2025</v>
      </c>
      <c r="E34" s="1" t="s">
        <v>23</v>
      </c>
      <c r="F34" s="1">
        <v>56369540</v>
      </c>
      <c r="G34" s="1">
        <v>27742120</v>
      </c>
      <c r="H34" s="1">
        <v>28627420</v>
      </c>
      <c r="I34" s="1">
        <v>3309974</v>
      </c>
      <c r="J34" s="1">
        <v>179599</v>
      </c>
      <c r="K34" s="1">
        <v>5.87</v>
      </c>
      <c r="L34" s="1">
        <v>17.53</v>
      </c>
      <c r="M34" s="1">
        <v>25.58</v>
      </c>
      <c r="N34" s="1">
        <v>9.98</v>
      </c>
      <c r="O34" s="1">
        <v>20.74</v>
      </c>
      <c r="P34" s="1">
        <v>35.83</v>
      </c>
      <c r="Q34" s="1">
        <v>1094.25</v>
      </c>
      <c r="R34" s="1">
        <v>63</v>
      </c>
      <c r="S34" s="1">
        <v>79</v>
      </c>
    </row>
    <row r="35" spans="1:19" ht="15">
      <c r="A35" s="1">
        <v>2</v>
      </c>
      <c r="B35" s="1" t="s">
        <v>24</v>
      </c>
      <c r="C35" s="1" t="s">
        <v>20</v>
      </c>
      <c r="D35" s="1">
        <v>2026</v>
      </c>
      <c r="E35" s="1" t="s">
        <v>21</v>
      </c>
      <c r="F35" s="1">
        <v>34023735</v>
      </c>
      <c r="G35" s="1">
        <v>17235608</v>
      </c>
      <c r="H35" s="1">
        <v>16788127</v>
      </c>
      <c r="I35" s="1">
        <v>1974437</v>
      </c>
      <c r="J35" s="1">
        <v>102861</v>
      </c>
      <c r="K35" s="1">
        <v>5.8</v>
      </c>
      <c r="L35" s="1">
        <v>18.79</v>
      </c>
      <c r="M35" s="1">
        <v>25.81</v>
      </c>
      <c r="N35" s="1">
        <v>8.81</v>
      </c>
      <c r="O35" s="1">
        <v>33.51</v>
      </c>
      <c r="P35" s="1">
        <v>20.100000000000001</v>
      </c>
      <c r="Q35" s="1">
        <v>4563.53</v>
      </c>
      <c r="R35" s="1">
        <v>81</v>
      </c>
      <c r="S35" s="1">
        <v>72.5</v>
      </c>
    </row>
    <row r="36" spans="1:19" ht="15">
      <c r="A36" s="1">
        <v>2</v>
      </c>
      <c r="B36" s="1" t="s">
        <v>24</v>
      </c>
      <c r="C36" s="1" t="s">
        <v>20</v>
      </c>
      <c r="D36" s="1">
        <v>2026</v>
      </c>
      <c r="E36" s="1" t="s">
        <v>22</v>
      </c>
      <c r="F36" s="1">
        <v>14149922</v>
      </c>
      <c r="G36" s="1">
        <v>6861311</v>
      </c>
      <c r="H36" s="1">
        <v>7288611</v>
      </c>
      <c r="I36" s="1">
        <v>1390815</v>
      </c>
      <c r="J36" s="1">
        <v>89797</v>
      </c>
      <c r="K36" s="1">
        <v>9.83</v>
      </c>
      <c r="L36" s="1">
        <v>26.66</v>
      </c>
      <c r="M36" s="1">
        <v>18.940000000000001</v>
      </c>
      <c r="N36" s="1">
        <v>14.45</v>
      </c>
      <c r="O36" s="1">
        <v>36.25</v>
      </c>
      <c r="P36" s="1">
        <v>39.49</v>
      </c>
      <c r="Q36" s="1">
        <v>2770.03</v>
      </c>
      <c r="R36" s="1">
        <v>59</v>
      </c>
      <c r="S36" s="1">
        <v>71</v>
      </c>
    </row>
    <row r="37" spans="1:19" ht="15">
      <c r="A37" s="1">
        <v>2</v>
      </c>
      <c r="B37" s="1" t="s">
        <v>24</v>
      </c>
      <c r="C37" s="1" t="s">
        <v>20</v>
      </c>
      <c r="D37" s="1">
        <v>2026</v>
      </c>
      <c r="E37" s="1" t="s">
        <v>23</v>
      </c>
      <c r="F37" s="1">
        <v>147329604</v>
      </c>
      <c r="G37" s="1">
        <v>74336006</v>
      </c>
      <c r="H37" s="1">
        <v>72993598</v>
      </c>
      <c r="I37" s="1">
        <v>9209718</v>
      </c>
      <c r="J37" s="1">
        <v>322557</v>
      </c>
      <c r="K37" s="1">
        <v>6.25</v>
      </c>
      <c r="L37" s="1">
        <v>19.53</v>
      </c>
      <c r="M37" s="1">
        <v>25.99</v>
      </c>
      <c r="N37" s="1">
        <v>8.84</v>
      </c>
      <c r="O37" s="1">
        <v>39.75</v>
      </c>
      <c r="P37" s="1">
        <v>25.15</v>
      </c>
      <c r="Q37" s="1">
        <v>3947.88</v>
      </c>
      <c r="R37" s="1">
        <v>57</v>
      </c>
      <c r="S37" s="1">
        <v>78.7</v>
      </c>
    </row>
    <row r="38" spans="1:19" ht="15">
      <c r="A38" s="1">
        <v>3</v>
      </c>
      <c r="B38" s="1" t="s">
        <v>25</v>
      </c>
      <c r="C38" s="1" t="s">
        <v>20</v>
      </c>
      <c r="D38" s="1">
        <v>2021</v>
      </c>
      <c r="E38" s="1" t="s">
        <v>21</v>
      </c>
      <c r="F38" s="1">
        <v>81105646</v>
      </c>
      <c r="G38" s="1">
        <v>39817087</v>
      </c>
      <c r="H38" s="1">
        <v>41288559</v>
      </c>
      <c r="I38" s="1">
        <v>5217084</v>
      </c>
      <c r="J38" s="1">
        <v>403582</v>
      </c>
      <c r="K38" s="1">
        <v>6.43</v>
      </c>
      <c r="L38" s="1">
        <v>29.23</v>
      </c>
      <c r="M38" s="1">
        <v>26.16</v>
      </c>
      <c r="N38" s="1">
        <v>7.79</v>
      </c>
      <c r="O38" s="1">
        <v>34.229999999999997</v>
      </c>
      <c r="P38" s="1">
        <v>20.420000000000002</v>
      </c>
      <c r="Q38" s="1">
        <v>4203.97</v>
      </c>
      <c r="R38" s="1">
        <v>61</v>
      </c>
      <c r="S38" s="1">
        <v>72.5</v>
      </c>
    </row>
    <row r="39" spans="1:19" ht="15">
      <c r="A39" s="1">
        <v>3</v>
      </c>
      <c r="B39" s="1" t="s">
        <v>25</v>
      </c>
      <c r="C39" s="1" t="s">
        <v>20</v>
      </c>
      <c r="D39" s="1">
        <v>2021</v>
      </c>
      <c r="E39" s="1" t="s">
        <v>22</v>
      </c>
      <c r="F39" s="1">
        <v>37432364</v>
      </c>
      <c r="G39" s="1">
        <v>18493120</v>
      </c>
      <c r="H39" s="1">
        <v>18939244</v>
      </c>
      <c r="I39" s="1">
        <v>3694825</v>
      </c>
      <c r="J39" s="1">
        <v>142288</v>
      </c>
      <c r="K39" s="1">
        <v>9.8699999999999992</v>
      </c>
      <c r="L39" s="1">
        <v>22.28</v>
      </c>
      <c r="M39" s="1">
        <v>10.96</v>
      </c>
      <c r="N39" s="1">
        <v>5.92</v>
      </c>
      <c r="O39" s="1">
        <v>24.2</v>
      </c>
      <c r="P39" s="1">
        <v>39.79</v>
      </c>
      <c r="Q39" s="1">
        <v>8853.8799999999992</v>
      </c>
      <c r="R39" s="1">
        <v>58</v>
      </c>
      <c r="S39" s="1">
        <v>80</v>
      </c>
    </row>
    <row r="40" spans="1:19" ht="15">
      <c r="A40" s="1">
        <v>3</v>
      </c>
      <c r="B40" s="1" t="s">
        <v>25</v>
      </c>
      <c r="C40" s="1" t="s">
        <v>20</v>
      </c>
      <c r="D40" s="1">
        <v>2021</v>
      </c>
      <c r="E40" s="1" t="s">
        <v>23</v>
      </c>
      <c r="F40" s="1">
        <v>139703967</v>
      </c>
      <c r="G40" s="1">
        <v>70865890</v>
      </c>
      <c r="H40" s="1">
        <v>68838077</v>
      </c>
      <c r="I40" s="1">
        <v>10058241</v>
      </c>
      <c r="J40" s="1">
        <v>511169</v>
      </c>
      <c r="K40" s="1">
        <v>7.2</v>
      </c>
      <c r="L40" s="1">
        <v>24.17</v>
      </c>
      <c r="M40" s="1">
        <v>17.71</v>
      </c>
      <c r="N40" s="1">
        <v>10.130000000000001</v>
      </c>
      <c r="O40" s="1">
        <v>25.21</v>
      </c>
      <c r="P40" s="1">
        <v>24.79</v>
      </c>
      <c r="Q40" s="1">
        <v>6633.25</v>
      </c>
      <c r="R40" s="1">
        <v>42</v>
      </c>
      <c r="S40" s="1">
        <v>63.6</v>
      </c>
    </row>
    <row r="41" spans="1:19" ht="15">
      <c r="A41" s="1">
        <v>3</v>
      </c>
      <c r="B41" s="1" t="s">
        <v>25</v>
      </c>
      <c r="C41" s="1" t="s">
        <v>20</v>
      </c>
      <c r="D41" s="1">
        <v>2022</v>
      </c>
      <c r="E41" s="1" t="s">
        <v>21</v>
      </c>
      <c r="F41" s="1">
        <v>32683690</v>
      </c>
      <c r="G41" s="1">
        <v>16237787</v>
      </c>
      <c r="H41" s="1">
        <v>16445903</v>
      </c>
      <c r="I41" s="1">
        <v>2406741</v>
      </c>
      <c r="J41" s="1">
        <v>168472</v>
      </c>
      <c r="K41" s="1">
        <v>7.36</v>
      </c>
      <c r="L41" s="1">
        <v>22.86</v>
      </c>
      <c r="M41" s="1">
        <v>24.06</v>
      </c>
      <c r="N41" s="1">
        <v>13.7</v>
      </c>
      <c r="O41" s="1">
        <v>23.95</v>
      </c>
      <c r="P41" s="1">
        <v>17.600000000000001</v>
      </c>
      <c r="Q41" s="1">
        <v>5027.84</v>
      </c>
      <c r="R41" s="1">
        <v>52</v>
      </c>
      <c r="S41" s="1">
        <v>63.2</v>
      </c>
    </row>
    <row r="42" spans="1:19" ht="15">
      <c r="A42" s="1">
        <v>3</v>
      </c>
      <c r="B42" s="1" t="s">
        <v>25</v>
      </c>
      <c r="C42" s="1" t="s">
        <v>20</v>
      </c>
      <c r="D42" s="1">
        <v>2022</v>
      </c>
      <c r="E42" s="1" t="s">
        <v>22</v>
      </c>
      <c r="F42" s="1">
        <v>168031020</v>
      </c>
      <c r="G42" s="1">
        <v>84510484</v>
      </c>
      <c r="H42" s="1">
        <v>83520536</v>
      </c>
      <c r="I42" s="1">
        <v>9507140</v>
      </c>
      <c r="J42" s="1">
        <v>625595</v>
      </c>
      <c r="K42" s="1">
        <v>5.66</v>
      </c>
      <c r="L42" s="1">
        <v>21.13</v>
      </c>
      <c r="M42" s="1">
        <v>20.58</v>
      </c>
      <c r="N42" s="1">
        <v>14.17</v>
      </c>
      <c r="O42" s="1">
        <v>37.119999999999997</v>
      </c>
      <c r="P42" s="1">
        <v>20.52</v>
      </c>
      <c r="Q42" s="1">
        <v>2415.71</v>
      </c>
      <c r="R42" s="1">
        <v>65</v>
      </c>
      <c r="S42" s="1">
        <v>81.099999999999994</v>
      </c>
    </row>
    <row r="43" spans="1:19" ht="15">
      <c r="A43" s="1">
        <v>3</v>
      </c>
      <c r="B43" s="1" t="s">
        <v>25</v>
      </c>
      <c r="C43" s="1" t="s">
        <v>20</v>
      </c>
      <c r="D43" s="1">
        <v>2022</v>
      </c>
      <c r="E43" s="1" t="s">
        <v>23</v>
      </c>
      <c r="F43" s="1">
        <v>80775703</v>
      </c>
      <c r="G43" s="1">
        <v>41218892</v>
      </c>
      <c r="H43" s="1">
        <v>39556811</v>
      </c>
      <c r="I43" s="1">
        <v>5300974</v>
      </c>
      <c r="J43" s="1">
        <v>254760</v>
      </c>
      <c r="K43" s="1">
        <v>6.56</v>
      </c>
      <c r="L43" s="1">
        <v>21.07</v>
      </c>
      <c r="M43" s="1">
        <v>33.15</v>
      </c>
      <c r="N43" s="1">
        <v>5.0199999999999996</v>
      </c>
      <c r="O43" s="1">
        <v>23.25</v>
      </c>
      <c r="P43" s="1">
        <v>33.01</v>
      </c>
      <c r="Q43" s="1">
        <v>5036.37</v>
      </c>
      <c r="R43" s="1">
        <v>47</v>
      </c>
      <c r="S43" s="1">
        <v>66.599999999999994</v>
      </c>
    </row>
    <row r="44" spans="1:19" ht="15">
      <c r="A44" s="1">
        <v>3</v>
      </c>
      <c r="B44" s="1" t="s">
        <v>25</v>
      </c>
      <c r="C44" s="1" t="s">
        <v>20</v>
      </c>
      <c r="D44" s="1">
        <v>2023</v>
      </c>
      <c r="E44" s="1" t="s">
        <v>21</v>
      </c>
      <c r="F44" s="1">
        <v>24519214</v>
      </c>
      <c r="G44" s="1">
        <v>12028173</v>
      </c>
      <c r="H44" s="1">
        <v>12491041</v>
      </c>
      <c r="I44" s="1">
        <v>2101501</v>
      </c>
      <c r="J44" s="1">
        <v>164361</v>
      </c>
      <c r="K44" s="1">
        <v>8.57</v>
      </c>
      <c r="L44" s="1">
        <v>25.26</v>
      </c>
      <c r="M44" s="1">
        <v>27.74</v>
      </c>
      <c r="N44" s="1">
        <v>12.23</v>
      </c>
      <c r="O44" s="1">
        <v>36.1</v>
      </c>
      <c r="P44" s="1">
        <v>21.78</v>
      </c>
      <c r="Q44" s="1">
        <v>7706.9</v>
      </c>
      <c r="R44" s="1">
        <v>83</v>
      </c>
      <c r="S44" s="1">
        <v>78.5</v>
      </c>
    </row>
    <row r="45" spans="1:19" ht="15">
      <c r="A45" s="1">
        <v>3</v>
      </c>
      <c r="B45" s="1" t="s">
        <v>25</v>
      </c>
      <c r="C45" s="1" t="s">
        <v>20</v>
      </c>
      <c r="D45" s="1">
        <v>2023</v>
      </c>
      <c r="E45" s="1" t="s">
        <v>22</v>
      </c>
      <c r="F45" s="1">
        <v>141833603</v>
      </c>
      <c r="G45" s="1">
        <v>73219238</v>
      </c>
      <c r="H45" s="1">
        <v>68614365</v>
      </c>
      <c r="I45" s="1">
        <v>13501824</v>
      </c>
      <c r="J45" s="1">
        <v>470966</v>
      </c>
      <c r="K45" s="1">
        <v>9.52</v>
      </c>
      <c r="L45" s="1">
        <v>17.53</v>
      </c>
      <c r="M45" s="1">
        <v>21.41</v>
      </c>
      <c r="N45" s="1">
        <v>13.92</v>
      </c>
      <c r="O45" s="1">
        <v>28.39</v>
      </c>
      <c r="P45" s="1">
        <v>21.62</v>
      </c>
      <c r="Q45" s="1">
        <v>728.38</v>
      </c>
      <c r="R45" s="1">
        <v>79</v>
      </c>
      <c r="S45" s="1">
        <v>66.599999999999994</v>
      </c>
    </row>
    <row r="46" spans="1:19" ht="15">
      <c r="A46" s="1">
        <v>3</v>
      </c>
      <c r="B46" s="1" t="s">
        <v>25</v>
      </c>
      <c r="C46" s="1" t="s">
        <v>20</v>
      </c>
      <c r="D46" s="1">
        <v>2023</v>
      </c>
      <c r="E46" s="1" t="s">
        <v>23</v>
      </c>
      <c r="F46" s="1">
        <v>125640764</v>
      </c>
      <c r="G46" s="1">
        <v>60408938</v>
      </c>
      <c r="H46" s="1">
        <v>65231826</v>
      </c>
      <c r="I46" s="1">
        <v>7318536</v>
      </c>
      <c r="J46" s="1">
        <v>333347</v>
      </c>
      <c r="K46" s="1">
        <v>5.82</v>
      </c>
      <c r="L46" s="1">
        <v>20.64</v>
      </c>
      <c r="M46" s="1">
        <v>19.079999999999998</v>
      </c>
      <c r="N46" s="1">
        <v>13.83</v>
      </c>
      <c r="O46" s="1">
        <v>24.15</v>
      </c>
      <c r="P46" s="1">
        <v>29.04</v>
      </c>
      <c r="Q46" s="1">
        <v>9444.9</v>
      </c>
      <c r="R46" s="1">
        <v>75</v>
      </c>
      <c r="S46" s="1">
        <v>81.400000000000006</v>
      </c>
    </row>
    <row r="47" spans="1:19" ht="15">
      <c r="A47" s="1">
        <v>3</v>
      </c>
      <c r="B47" s="1" t="s">
        <v>25</v>
      </c>
      <c r="C47" s="1" t="s">
        <v>20</v>
      </c>
      <c r="D47" s="1">
        <v>2024</v>
      </c>
      <c r="E47" s="1" t="s">
        <v>21</v>
      </c>
      <c r="F47" s="1">
        <v>140767432</v>
      </c>
      <c r="G47" s="1">
        <v>68331445</v>
      </c>
      <c r="H47" s="1">
        <v>72435987</v>
      </c>
      <c r="I47" s="1">
        <v>12611354</v>
      </c>
      <c r="J47" s="1">
        <v>804192</v>
      </c>
      <c r="K47" s="1">
        <v>8.9600000000000009</v>
      </c>
      <c r="L47" s="1">
        <v>18.43</v>
      </c>
      <c r="M47" s="1">
        <v>10.64</v>
      </c>
      <c r="N47" s="1">
        <v>6.68</v>
      </c>
      <c r="O47" s="1">
        <v>34.99</v>
      </c>
      <c r="P47" s="1">
        <v>17.100000000000001</v>
      </c>
      <c r="Q47" s="1">
        <v>4095.47</v>
      </c>
      <c r="R47" s="1">
        <v>79</v>
      </c>
      <c r="S47" s="1">
        <v>65.900000000000006</v>
      </c>
    </row>
    <row r="48" spans="1:19" ht="15">
      <c r="A48" s="1">
        <v>3</v>
      </c>
      <c r="B48" s="1" t="s">
        <v>25</v>
      </c>
      <c r="C48" s="1" t="s">
        <v>20</v>
      </c>
      <c r="D48" s="1">
        <v>2024</v>
      </c>
      <c r="E48" s="1" t="s">
        <v>22</v>
      </c>
      <c r="F48" s="1">
        <v>139490016</v>
      </c>
      <c r="G48" s="1">
        <v>68958618</v>
      </c>
      <c r="H48" s="1">
        <v>70531398</v>
      </c>
      <c r="I48" s="1">
        <v>7582595</v>
      </c>
      <c r="J48" s="1">
        <v>367923</v>
      </c>
      <c r="K48" s="1">
        <v>5.44</v>
      </c>
      <c r="L48" s="1">
        <v>16.54</v>
      </c>
      <c r="M48" s="1">
        <v>27.93</v>
      </c>
      <c r="N48" s="1">
        <v>8.1999999999999993</v>
      </c>
      <c r="O48" s="1">
        <v>33.869999999999997</v>
      </c>
      <c r="P48" s="1">
        <v>28.46</v>
      </c>
      <c r="Q48" s="1">
        <v>10708.93</v>
      </c>
      <c r="R48" s="1">
        <v>73</v>
      </c>
      <c r="S48" s="1">
        <v>76.900000000000006</v>
      </c>
    </row>
    <row r="49" spans="1:19" ht="15">
      <c r="A49" s="1">
        <v>3</v>
      </c>
      <c r="B49" s="1" t="s">
        <v>25</v>
      </c>
      <c r="C49" s="1" t="s">
        <v>20</v>
      </c>
      <c r="D49" s="1">
        <v>2024</v>
      </c>
      <c r="E49" s="1" t="s">
        <v>23</v>
      </c>
      <c r="F49" s="1">
        <v>124225683</v>
      </c>
      <c r="G49" s="1">
        <v>62037856</v>
      </c>
      <c r="H49" s="1">
        <v>62187827</v>
      </c>
      <c r="I49" s="1">
        <v>9139195</v>
      </c>
      <c r="J49" s="1">
        <v>672508</v>
      </c>
      <c r="K49" s="1">
        <v>7.36</v>
      </c>
      <c r="L49" s="1">
        <v>12.76</v>
      </c>
      <c r="M49" s="1">
        <v>20.61</v>
      </c>
      <c r="N49" s="1">
        <v>10.35</v>
      </c>
      <c r="O49" s="1">
        <v>28.72</v>
      </c>
      <c r="P49" s="1">
        <v>29.95</v>
      </c>
      <c r="Q49" s="1">
        <v>6236.7</v>
      </c>
      <c r="R49" s="1">
        <v>58</v>
      </c>
      <c r="S49" s="1">
        <v>69.5</v>
      </c>
    </row>
    <row r="50" spans="1:19" ht="15">
      <c r="A50" s="1">
        <v>3</v>
      </c>
      <c r="B50" s="1" t="s">
        <v>25</v>
      </c>
      <c r="C50" s="1" t="s">
        <v>20</v>
      </c>
      <c r="D50" s="1">
        <v>2025</v>
      </c>
      <c r="E50" s="1" t="s">
        <v>21</v>
      </c>
      <c r="F50" s="1">
        <v>170994934</v>
      </c>
      <c r="G50" s="1">
        <v>84330067</v>
      </c>
      <c r="H50" s="1">
        <v>86664867</v>
      </c>
      <c r="I50" s="1">
        <v>13738596</v>
      </c>
      <c r="J50" s="1">
        <v>912626</v>
      </c>
      <c r="K50" s="1">
        <v>8.0299999999999994</v>
      </c>
      <c r="L50" s="1">
        <v>12.61</v>
      </c>
      <c r="M50" s="1">
        <v>18.16</v>
      </c>
      <c r="N50" s="1">
        <v>14.45</v>
      </c>
      <c r="O50" s="1">
        <v>39.32</v>
      </c>
      <c r="P50" s="1">
        <v>39.81</v>
      </c>
      <c r="Q50" s="1">
        <v>989.05</v>
      </c>
      <c r="R50" s="1">
        <v>70</v>
      </c>
      <c r="S50" s="1">
        <v>79</v>
      </c>
    </row>
    <row r="51" spans="1:19" ht="15">
      <c r="A51" s="1">
        <v>3</v>
      </c>
      <c r="B51" s="1" t="s">
        <v>25</v>
      </c>
      <c r="C51" s="1" t="s">
        <v>20</v>
      </c>
      <c r="D51" s="1">
        <v>2025</v>
      </c>
      <c r="E51" s="1" t="s">
        <v>22</v>
      </c>
      <c r="F51" s="1">
        <v>156247658</v>
      </c>
      <c r="G51" s="1">
        <v>80635944</v>
      </c>
      <c r="H51" s="1">
        <v>75611714</v>
      </c>
      <c r="I51" s="1">
        <v>13397778</v>
      </c>
      <c r="J51" s="1">
        <v>854523</v>
      </c>
      <c r="K51" s="1">
        <v>8.57</v>
      </c>
      <c r="L51" s="1">
        <v>24.39</v>
      </c>
      <c r="M51" s="1">
        <v>24.37</v>
      </c>
      <c r="N51" s="1">
        <v>12.88</v>
      </c>
      <c r="O51" s="1">
        <v>30.04</v>
      </c>
      <c r="P51" s="1">
        <v>20.65</v>
      </c>
      <c r="Q51" s="1">
        <v>1585.01</v>
      </c>
      <c r="R51" s="1">
        <v>82</v>
      </c>
      <c r="S51" s="1">
        <v>80.900000000000006</v>
      </c>
    </row>
    <row r="52" spans="1:19" ht="15">
      <c r="A52" s="1">
        <v>3</v>
      </c>
      <c r="B52" s="1" t="s">
        <v>25</v>
      </c>
      <c r="C52" s="1" t="s">
        <v>20</v>
      </c>
      <c r="D52" s="1">
        <v>2025</v>
      </c>
      <c r="E52" s="1" t="s">
        <v>23</v>
      </c>
      <c r="F52" s="1">
        <v>113245678</v>
      </c>
      <c r="G52" s="1">
        <v>55160800</v>
      </c>
      <c r="H52" s="1">
        <v>58084878</v>
      </c>
      <c r="I52" s="1">
        <v>10319276</v>
      </c>
      <c r="J52" s="1">
        <v>464546</v>
      </c>
      <c r="K52" s="1">
        <v>9.11</v>
      </c>
      <c r="L52" s="1">
        <v>22.71</v>
      </c>
      <c r="M52" s="1">
        <v>18.899999999999999</v>
      </c>
      <c r="N52" s="1">
        <v>7.14</v>
      </c>
      <c r="O52" s="1">
        <v>23.51</v>
      </c>
      <c r="P52" s="1">
        <v>16.77</v>
      </c>
      <c r="Q52" s="1">
        <v>1356.04</v>
      </c>
      <c r="R52" s="1">
        <v>73</v>
      </c>
      <c r="S52" s="1">
        <v>61.6</v>
      </c>
    </row>
    <row r="53" spans="1:19" ht="15">
      <c r="A53" s="1">
        <v>3</v>
      </c>
      <c r="B53" s="1" t="s">
        <v>25</v>
      </c>
      <c r="C53" s="1" t="s">
        <v>20</v>
      </c>
      <c r="D53" s="1">
        <v>2026</v>
      </c>
      <c r="E53" s="1" t="s">
        <v>21</v>
      </c>
      <c r="F53" s="1">
        <v>1829280</v>
      </c>
      <c r="G53" s="1">
        <v>939081</v>
      </c>
      <c r="H53" s="1">
        <v>890199</v>
      </c>
      <c r="I53" s="1">
        <v>138824</v>
      </c>
      <c r="J53" s="1">
        <v>5057</v>
      </c>
      <c r="K53" s="1">
        <v>7.59</v>
      </c>
      <c r="L53" s="1">
        <v>20.5</v>
      </c>
      <c r="M53" s="1">
        <v>23.57</v>
      </c>
      <c r="N53" s="1">
        <v>9.9700000000000006</v>
      </c>
      <c r="O53" s="1">
        <v>24.13</v>
      </c>
      <c r="P53" s="1">
        <v>25.86</v>
      </c>
      <c r="Q53" s="1">
        <v>10514.85</v>
      </c>
      <c r="R53" s="1">
        <v>44</v>
      </c>
      <c r="S53" s="1">
        <v>68.8</v>
      </c>
    </row>
    <row r="54" spans="1:19" ht="15">
      <c r="A54" s="1">
        <v>3</v>
      </c>
      <c r="B54" s="1" t="s">
        <v>25</v>
      </c>
      <c r="C54" s="1" t="s">
        <v>20</v>
      </c>
      <c r="D54" s="1">
        <v>2026</v>
      </c>
      <c r="E54" s="1" t="s">
        <v>22</v>
      </c>
      <c r="F54" s="1">
        <v>194897197</v>
      </c>
      <c r="G54" s="1">
        <v>100802720</v>
      </c>
      <c r="H54" s="1">
        <v>94094477</v>
      </c>
      <c r="I54" s="1">
        <v>12013476</v>
      </c>
      <c r="J54" s="1">
        <v>796197</v>
      </c>
      <c r="K54" s="1">
        <v>6.16</v>
      </c>
      <c r="L54" s="1">
        <v>19.68</v>
      </c>
      <c r="M54" s="1">
        <v>29.68</v>
      </c>
      <c r="N54" s="1">
        <v>8.6</v>
      </c>
      <c r="O54" s="1">
        <v>30.85</v>
      </c>
      <c r="P54" s="1">
        <v>24.21</v>
      </c>
      <c r="Q54" s="1">
        <v>10460.719999999999</v>
      </c>
      <c r="R54" s="1">
        <v>62</v>
      </c>
      <c r="S54" s="1">
        <v>81</v>
      </c>
    </row>
    <row r="55" spans="1:19" ht="15">
      <c r="A55" s="1">
        <v>3</v>
      </c>
      <c r="B55" s="1" t="s">
        <v>25</v>
      </c>
      <c r="C55" s="1" t="s">
        <v>20</v>
      </c>
      <c r="D55" s="1">
        <v>2026</v>
      </c>
      <c r="E55" s="1" t="s">
        <v>23</v>
      </c>
      <c r="F55" s="1">
        <v>14941469</v>
      </c>
      <c r="G55" s="1">
        <v>7758220</v>
      </c>
      <c r="H55" s="1">
        <v>7183249</v>
      </c>
      <c r="I55" s="1">
        <v>1293972</v>
      </c>
      <c r="J55" s="1">
        <v>92546</v>
      </c>
      <c r="K55" s="1">
        <v>8.66</v>
      </c>
      <c r="L55" s="1">
        <v>27.89</v>
      </c>
      <c r="M55" s="1">
        <v>16.8</v>
      </c>
      <c r="N55" s="1">
        <v>14.87</v>
      </c>
      <c r="O55" s="1">
        <v>27.81</v>
      </c>
      <c r="P55" s="1">
        <v>27.43</v>
      </c>
      <c r="Q55" s="1">
        <v>2573.7199999999998</v>
      </c>
      <c r="R55" s="1">
        <v>68</v>
      </c>
      <c r="S55" s="1">
        <v>78.900000000000006</v>
      </c>
    </row>
    <row r="56" spans="1:19" ht="15">
      <c r="A56" s="1">
        <v>4</v>
      </c>
      <c r="B56" s="1" t="s">
        <v>26</v>
      </c>
      <c r="C56" s="1" t="s">
        <v>27</v>
      </c>
      <c r="D56" s="1">
        <v>2021</v>
      </c>
      <c r="E56" s="1" t="s">
        <v>21</v>
      </c>
      <c r="F56" s="1">
        <v>147997253</v>
      </c>
      <c r="G56" s="1">
        <v>75119524</v>
      </c>
      <c r="H56" s="1">
        <v>72877729</v>
      </c>
      <c r="I56" s="1">
        <v>9015664</v>
      </c>
      <c r="J56" s="1">
        <v>428858</v>
      </c>
      <c r="K56" s="1">
        <v>6.09</v>
      </c>
      <c r="L56" s="1">
        <v>17.68</v>
      </c>
      <c r="M56" s="1">
        <v>15.92</v>
      </c>
      <c r="N56" s="1">
        <v>5.35</v>
      </c>
      <c r="O56" s="1">
        <v>35.4</v>
      </c>
      <c r="P56" s="1">
        <v>38.76</v>
      </c>
      <c r="Q56" s="1">
        <v>3101.85</v>
      </c>
      <c r="R56" s="1">
        <v>55</v>
      </c>
      <c r="S56" s="1">
        <v>63.7</v>
      </c>
    </row>
    <row r="57" spans="1:19" ht="15">
      <c r="A57" s="1">
        <v>4</v>
      </c>
      <c r="B57" s="1" t="s">
        <v>26</v>
      </c>
      <c r="C57" s="1" t="s">
        <v>27</v>
      </c>
      <c r="D57" s="1">
        <v>2021</v>
      </c>
      <c r="E57" s="1" t="s">
        <v>22</v>
      </c>
      <c r="F57" s="1">
        <v>21945925</v>
      </c>
      <c r="G57" s="1">
        <v>10606699</v>
      </c>
      <c r="H57" s="1">
        <v>11339226</v>
      </c>
      <c r="I57" s="1">
        <v>1810245</v>
      </c>
      <c r="J57" s="1">
        <v>87665</v>
      </c>
      <c r="K57" s="1">
        <v>8.25</v>
      </c>
      <c r="L57" s="1">
        <v>21.25</v>
      </c>
      <c r="M57" s="1">
        <v>32.65</v>
      </c>
      <c r="N57" s="1">
        <v>13.62</v>
      </c>
      <c r="O57" s="1">
        <v>38.43</v>
      </c>
      <c r="P57" s="1">
        <v>38.380000000000003</v>
      </c>
      <c r="Q57" s="1">
        <v>7282.92</v>
      </c>
      <c r="R57" s="1">
        <v>55</v>
      </c>
      <c r="S57" s="1">
        <v>71.599999999999994</v>
      </c>
    </row>
    <row r="58" spans="1:19" ht="15">
      <c r="A58" s="1">
        <v>4</v>
      </c>
      <c r="B58" s="1" t="s">
        <v>26</v>
      </c>
      <c r="C58" s="1" t="s">
        <v>27</v>
      </c>
      <c r="D58" s="1">
        <v>2021</v>
      </c>
      <c r="E58" s="1" t="s">
        <v>23</v>
      </c>
      <c r="F58" s="1">
        <v>49722633</v>
      </c>
      <c r="G58" s="1">
        <v>24070609</v>
      </c>
      <c r="H58" s="1">
        <v>25652024</v>
      </c>
      <c r="I58" s="1">
        <v>3788674</v>
      </c>
      <c r="J58" s="1">
        <v>275817</v>
      </c>
      <c r="K58" s="1">
        <v>7.62</v>
      </c>
      <c r="L58" s="1">
        <v>18.649999999999999</v>
      </c>
      <c r="M58" s="1">
        <v>10.09</v>
      </c>
      <c r="N58" s="1">
        <v>7.12</v>
      </c>
      <c r="O58" s="1">
        <v>35.200000000000003</v>
      </c>
      <c r="P58" s="1">
        <v>18.96</v>
      </c>
      <c r="Q58" s="1">
        <v>2795.13</v>
      </c>
      <c r="R58" s="1">
        <v>41</v>
      </c>
      <c r="S58" s="1">
        <v>66.599999999999994</v>
      </c>
    </row>
    <row r="59" spans="1:19" ht="15">
      <c r="A59" s="1">
        <v>4</v>
      </c>
      <c r="B59" s="1" t="s">
        <v>26</v>
      </c>
      <c r="C59" s="1" t="s">
        <v>27</v>
      </c>
      <c r="D59" s="1">
        <v>2022</v>
      </c>
      <c r="E59" s="1" t="s">
        <v>21</v>
      </c>
      <c r="F59" s="1">
        <v>66264068</v>
      </c>
      <c r="G59" s="1">
        <v>34023698</v>
      </c>
      <c r="H59" s="1">
        <v>32240370</v>
      </c>
      <c r="I59" s="1">
        <v>4038446</v>
      </c>
      <c r="J59" s="1">
        <v>242199</v>
      </c>
      <c r="K59" s="1">
        <v>6.09</v>
      </c>
      <c r="L59" s="1">
        <v>20.6</v>
      </c>
      <c r="M59" s="1">
        <v>21.12</v>
      </c>
      <c r="N59" s="1">
        <v>10.8</v>
      </c>
      <c r="O59" s="1">
        <v>36.28</v>
      </c>
      <c r="P59" s="1">
        <v>20.440000000000001</v>
      </c>
      <c r="Q59" s="1">
        <v>6218.19</v>
      </c>
      <c r="R59" s="1">
        <v>67</v>
      </c>
      <c r="S59" s="1">
        <v>62.3</v>
      </c>
    </row>
    <row r="60" spans="1:19" ht="15">
      <c r="A60" s="1">
        <v>4</v>
      </c>
      <c r="B60" s="1" t="s">
        <v>26</v>
      </c>
      <c r="C60" s="1" t="s">
        <v>27</v>
      </c>
      <c r="D60" s="1">
        <v>2022</v>
      </c>
      <c r="E60" s="1" t="s">
        <v>22</v>
      </c>
      <c r="F60" s="1">
        <v>20717835</v>
      </c>
      <c r="G60" s="1">
        <v>10600079</v>
      </c>
      <c r="H60" s="1">
        <v>10117756</v>
      </c>
      <c r="I60" s="1">
        <v>2070290</v>
      </c>
      <c r="J60" s="1">
        <v>111349</v>
      </c>
      <c r="K60" s="1">
        <v>9.99</v>
      </c>
      <c r="L60" s="1">
        <v>15.93</v>
      </c>
      <c r="M60" s="1">
        <v>24.49</v>
      </c>
      <c r="N60" s="1">
        <v>8.7200000000000006</v>
      </c>
      <c r="O60" s="1">
        <v>22.34</v>
      </c>
      <c r="P60" s="1">
        <v>28.11</v>
      </c>
      <c r="Q60" s="1">
        <v>9690.06</v>
      </c>
      <c r="R60" s="1">
        <v>63</v>
      </c>
      <c r="S60" s="1">
        <v>80.5</v>
      </c>
    </row>
    <row r="61" spans="1:19" ht="15">
      <c r="A61" s="1">
        <v>4</v>
      </c>
      <c r="B61" s="1" t="s">
        <v>26</v>
      </c>
      <c r="C61" s="1" t="s">
        <v>27</v>
      </c>
      <c r="D61" s="1">
        <v>2022</v>
      </c>
      <c r="E61" s="1" t="s">
        <v>23</v>
      </c>
      <c r="F61" s="1">
        <v>5973809</v>
      </c>
      <c r="G61" s="1">
        <v>2955296</v>
      </c>
      <c r="H61" s="1">
        <v>3018513</v>
      </c>
      <c r="I61" s="1">
        <v>373860</v>
      </c>
      <c r="J61" s="1">
        <v>13287</v>
      </c>
      <c r="K61" s="1">
        <v>6.26</v>
      </c>
      <c r="L61" s="1">
        <v>18.72</v>
      </c>
      <c r="M61" s="1">
        <v>30.18</v>
      </c>
      <c r="N61" s="1">
        <v>7.35</v>
      </c>
      <c r="O61" s="1">
        <v>36.99</v>
      </c>
      <c r="P61" s="1">
        <v>32.79</v>
      </c>
      <c r="Q61" s="1">
        <v>2810.84</v>
      </c>
      <c r="R61" s="1">
        <v>84</v>
      </c>
      <c r="S61" s="1">
        <v>74.5</v>
      </c>
    </row>
    <row r="62" spans="1:19" ht="15">
      <c r="A62" s="1">
        <v>4</v>
      </c>
      <c r="B62" s="1" t="s">
        <v>26</v>
      </c>
      <c r="C62" s="1" t="s">
        <v>27</v>
      </c>
      <c r="D62" s="1">
        <v>2023</v>
      </c>
      <c r="E62" s="1" t="s">
        <v>21</v>
      </c>
      <c r="F62" s="1">
        <v>177109366</v>
      </c>
      <c r="G62" s="1">
        <v>91621298</v>
      </c>
      <c r="H62" s="1">
        <v>85488068</v>
      </c>
      <c r="I62" s="1">
        <v>10291955</v>
      </c>
      <c r="J62" s="1">
        <v>731765</v>
      </c>
      <c r="K62" s="1">
        <v>5.81</v>
      </c>
      <c r="L62" s="1">
        <v>25.52</v>
      </c>
      <c r="M62" s="1">
        <v>16.09</v>
      </c>
      <c r="N62" s="1">
        <v>7.95</v>
      </c>
      <c r="O62" s="1">
        <v>39.14</v>
      </c>
      <c r="P62" s="1">
        <v>24.05</v>
      </c>
      <c r="Q62" s="1">
        <v>3823.23</v>
      </c>
      <c r="R62" s="1">
        <v>76</v>
      </c>
      <c r="S62" s="1">
        <v>76.599999999999994</v>
      </c>
    </row>
    <row r="63" spans="1:19" ht="15">
      <c r="A63" s="1">
        <v>4</v>
      </c>
      <c r="B63" s="1" t="s">
        <v>26</v>
      </c>
      <c r="C63" s="1" t="s">
        <v>27</v>
      </c>
      <c r="D63" s="1">
        <v>2023</v>
      </c>
      <c r="E63" s="1" t="s">
        <v>22</v>
      </c>
      <c r="F63" s="1">
        <v>27448296</v>
      </c>
      <c r="G63" s="1">
        <v>13705669</v>
      </c>
      <c r="H63" s="1">
        <v>13742627</v>
      </c>
      <c r="I63" s="1">
        <v>1863922</v>
      </c>
      <c r="J63" s="1">
        <v>106615</v>
      </c>
      <c r="K63" s="1">
        <v>6.79</v>
      </c>
      <c r="L63" s="1">
        <v>22.07</v>
      </c>
      <c r="M63" s="1">
        <v>26</v>
      </c>
      <c r="N63" s="1">
        <v>9.32</v>
      </c>
      <c r="O63" s="1">
        <v>37.74</v>
      </c>
      <c r="P63" s="1">
        <v>35.89</v>
      </c>
      <c r="Q63" s="1">
        <v>11233.61</v>
      </c>
      <c r="R63" s="1">
        <v>79</v>
      </c>
      <c r="S63" s="1">
        <v>76.8</v>
      </c>
    </row>
    <row r="64" spans="1:19" ht="15">
      <c r="A64" s="1">
        <v>4</v>
      </c>
      <c r="B64" s="1" t="s">
        <v>26</v>
      </c>
      <c r="C64" s="1" t="s">
        <v>27</v>
      </c>
      <c r="D64" s="1">
        <v>2023</v>
      </c>
      <c r="E64" s="1" t="s">
        <v>23</v>
      </c>
      <c r="F64" s="1">
        <v>89735222</v>
      </c>
      <c r="G64" s="1">
        <v>44618849</v>
      </c>
      <c r="H64" s="1">
        <v>45116373</v>
      </c>
      <c r="I64" s="1">
        <v>5737592</v>
      </c>
      <c r="J64" s="1">
        <v>359140</v>
      </c>
      <c r="K64" s="1">
        <v>6.39</v>
      </c>
      <c r="L64" s="1">
        <v>28.92</v>
      </c>
      <c r="M64" s="1">
        <v>30.11</v>
      </c>
      <c r="N64" s="1">
        <v>7.85</v>
      </c>
      <c r="O64" s="1">
        <v>24.56</v>
      </c>
      <c r="P64" s="1">
        <v>34.29</v>
      </c>
      <c r="Q64" s="1">
        <v>8608.98</v>
      </c>
      <c r="R64" s="1">
        <v>81</v>
      </c>
      <c r="S64" s="1">
        <v>63.4</v>
      </c>
    </row>
    <row r="65" spans="1:19" ht="15">
      <c r="A65" s="1">
        <v>4</v>
      </c>
      <c r="B65" s="1" t="s">
        <v>26</v>
      </c>
      <c r="C65" s="1" t="s">
        <v>27</v>
      </c>
      <c r="D65" s="1">
        <v>2024</v>
      </c>
      <c r="E65" s="1" t="s">
        <v>21</v>
      </c>
      <c r="F65" s="1">
        <v>172856747</v>
      </c>
      <c r="G65" s="1">
        <v>88929121</v>
      </c>
      <c r="H65" s="1">
        <v>83927626</v>
      </c>
      <c r="I65" s="1">
        <v>12381948</v>
      </c>
      <c r="J65" s="1">
        <v>540685</v>
      </c>
      <c r="K65" s="1">
        <v>7.16</v>
      </c>
      <c r="L65" s="1">
        <v>16.86</v>
      </c>
      <c r="M65" s="1">
        <v>34.840000000000003</v>
      </c>
      <c r="N65" s="1">
        <v>14.56</v>
      </c>
      <c r="O65" s="1">
        <v>21.67</v>
      </c>
      <c r="P65" s="1">
        <v>22.88</v>
      </c>
      <c r="Q65" s="1">
        <v>8775.16</v>
      </c>
      <c r="R65" s="1">
        <v>84</v>
      </c>
      <c r="S65" s="1">
        <v>60.8</v>
      </c>
    </row>
    <row r="66" spans="1:19" ht="15">
      <c r="A66" s="1">
        <v>4</v>
      </c>
      <c r="B66" s="1" t="s">
        <v>26</v>
      </c>
      <c r="C66" s="1" t="s">
        <v>27</v>
      </c>
      <c r="D66" s="1">
        <v>2024</v>
      </c>
      <c r="E66" s="1" t="s">
        <v>22</v>
      </c>
      <c r="F66" s="1">
        <v>8029701</v>
      </c>
      <c r="G66" s="1">
        <v>3868674</v>
      </c>
      <c r="H66" s="1">
        <v>4161027</v>
      </c>
      <c r="I66" s="1">
        <v>750152</v>
      </c>
      <c r="J66" s="1">
        <v>35022</v>
      </c>
      <c r="K66" s="1">
        <v>9.34</v>
      </c>
      <c r="L66" s="1">
        <v>16.37</v>
      </c>
      <c r="M66" s="1">
        <v>29.83</v>
      </c>
      <c r="N66" s="1">
        <v>8.19</v>
      </c>
      <c r="O66" s="1">
        <v>34.770000000000003</v>
      </c>
      <c r="P66" s="1">
        <v>24.23</v>
      </c>
      <c r="Q66" s="1">
        <v>3921.47</v>
      </c>
      <c r="R66" s="1">
        <v>41</v>
      </c>
      <c r="S66" s="1">
        <v>63.9</v>
      </c>
    </row>
    <row r="67" spans="1:19" ht="15">
      <c r="A67" s="1">
        <v>4</v>
      </c>
      <c r="B67" s="1" t="s">
        <v>26</v>
      </c>
      <c r="C67" s="1" t="s">
        <v>27</v>
      </c>
      <c r="D67" s="1">
        <v>2024</v>
      </c>
      <c r="E67" s="1" t="s">
        <v>23</v>
      </c>
      <c r="F67" s="1">
        <v>78058076</v>
      </c>
      <c r="G67" s="1">
        <v>37702085</v>
      </c>
      <c r="H67" s="1">
        <v>40355991</v>
      </c>
      <c r="I67" s="1">
        <v>7303119</v>
      </c>
      <c r="J67" s="1">
        <v>536188</v>
      </c>
      <c r="K67" s="1">
        <v>9.36</v>
      </c>
      <c r="L67" s="1">
        <v>19.22</v>
      </c>
      <c r="M67" s="1">
        <v>27.21</v>
      </c>
      <c r="N67" s="1">
        <v>13.63</v>
      </c>
      <c r="O67" s="1">
        <v>27.81</v>
      </c>
      <c r="P67" s="1">
        <v>32.799999999999997</v>
      </c>
      <c r="Q67" s="1">
        <v>9180.1</v>
      </c>
      <c r="R67" s="1">
        <v>72</v>
      </c>
      <c r="S67" s="1">
        <v>63.2</v>
      </c>
    </row>
    <row r="68" spans="1:19" ht="15">
      <c r="A68" s="1">
        <v>4</v>
      </c>
      <c r="B68" s="1" t="s">
        <v>26</v>
      </c>
      <c r="C68" s="1" t="s">
        <v>27</v>
      </c>
      <c r="D68" s="1">
        <v>2025</v>
      </c>
      <c r="E68" s="1" t="s">
        <v>21</v>
      </c>
      <c r="F68" s="1">
        <v>16536847</v>
      </c>
      <c r="G68" s="1">
        <v>8434010</v>
      </c>
      <c r="H68" s="1">
        <v>8102837</v>
      </c>
      <c r="I68" s="1">
        <v>1410302</v>
      </c>
      <c r="J68" s="1">
        <v>55373</v>
      </c>
      <c r="K68" s="1">
        <v>8.5299999999999994</v>
      </c>
      <c r="L68" s="1">
        <v>26.53</v>
      </c>
      <c r="M68" s="1">
        <v>30.02</v>
      </c>
      <c r="N68" s="1">
        <v>8.33</v>
      </c>
      <c r="O68" s="1">
        <v>26.81</v>
      </c>
      <c r="P68" s="1">
        <v>17.760000000000002</v>
      </c>
      <c r="Q68" s="1">
        <v>5623.06</v>
      </c>
      <c r="R68" s="1">
        <v>58</v>
      </c>
      <c r="S68" s="1">
        <v>72.5</v>
      </c>
    </row>
    <row r="69" spans="1:19" ht="15">
      <c r="A69" s="1">
        <v>4</v>
      </c>
      <c r="B69" s="1" t="s">
        <v>26</v>
      </c>
      <c r="C69" s="1" t="s">
        <v>27</v>
      </c>
      <c r="D69" s="1">
        <v>2025</v>
      </c>
      <c r="E69" s="1" t="s">
        <v>22</v>
      </c>
      <c r="F69" s="1">
        <v>22842490</v>
      </c>
      <c r="G69" s="1">
        <v>11535076</v>
      </c>
      <c r="H69" s="1">
        <v>11307414</v>
      </c>
      <c r="I69" s="1">
        <v>1806773</v>
      </c>
      <c r="J69" s="1">
        <v>60675</v>
      </c>
      <c r="K69" s="1">
        <v>7.91</v>
      </c>
      <c r="L69" s="1">
        <v>22.43</v>
      </c>
      <c r="M69" s="1">
        <v>28.81</v>
      </c>
      <c r="N69" s="1">
        <v>6.42</v>
      </c>
      <c r="O69" s="1">
        <v>31.9</v>
      </c>
      <c r="P69" s="1">
        <v>35.479999999999997</v>
      </c>
      <c r="Q69" s="1">
        <v>2726.62</v>
      </c>
      <c r="R69" s="1">
        <v>62</v>
      </c>
      <c r="S69" s="1">
        <v>82.4</v>
      </c>
    </row>
    <row r="70" spans="1:19" ht="15">
      <c r="A70" s="1">
        <v>4</v>
      </c>
      <c r="B70" s="1" t="s">
        <v>26</v>
      </c>
      <c r="C70" s="1" t="s">
        <v>27</v>
      </c>
      <c r="D70" s="1">
        <v>2025</v>
      </c>
      <c r="E70" s="1" t="s">
        <v>23</v>
      </c>
      <c r="F70" s="1">
        <v>182769569</v>
      </c>
      <c r="G70" s="1">
        <v>92932071</v>
      </c>
      <c r="H70" s="1">
        <v>89837498</v>
      </c>
      <c r="I70" s="1">
        <v>17107558</v>
      </c>
      <c r="J70" s="1">
        <v>745703</v>
      </c>
      <c r="K70" s="1">
        <v>9.36</v>
      </c>
      <c r="L70" s="1">
        <v>23.3</v>
      </c>
      <c r="M70" s="1">
        <v>33.15</v>
      </c>
      <c r="N70" s="1">
        <v>5.45</v>
      </c>
      <c r="O70" s="1">
        <v>36.42</v>
      </c>
      <c r="P70" s="1">
        <v>20.92</v>
      </c>
      <c r="Q70" s="1">
        <v>9712.7999999999993</v>
      </c>
      <c r="R70" s="1">
        <v>70</v>
      </c>
      <c r="S70" s="1">
        <v>78.400000000000006</v>
      </c>
    </row>
    <row r="71" spans="1:19" ht="15">
      <c r="A71" s="1">
        <v>4</v>
      </c>
      <c r="B71" s="1" t="s">
        <v>26</v>
      </c>
      <c r="C71" s="1" t="s">
        <v>27</v>
      </c>
      <c r="D71" s="1">
        <v>2026</v>
      </c>
      <c r="E71" s="1" t="s">
        <v>21</v>
      </c>
      <c r="F71" s="1">
        <v>128841488</v>
      </c>
      <c r="G71" s="1">
        <v>63910505</v>
      </c>
      <c r="H71" s="1">
        <v>64930983</v>
      </c>
      <c r="I71" s="1">
        <v>9342399</v>
      </c>
      <c r="J71" s="1">
        <v>712029</v>
      </c>
      <c r="K71" s="1">
        <v>7.25</v>
      </c>
      <c r="L71" s="1">
        <v>11.42</v>
      </c>
      <c r="M71" s="1">
        <v>13.91</v>
      </c>
      <c r="N71" s="1">
        <v>14.73</v>
      </c>
      <c r="O71" s="1">
        <v>38.270000000000003</v>
      </c>
      <c r="P71" s="1">
        <v>18.670000000000002</v>
      </c>
      <c r="Q71" s="1">
        <v>11694.78</v>
      </c>
      <c r="R71" s="1">
        <v>81</v>
      </c>
      <c r="S71" s="1">
        <v>80.5</v>
      </c>
    </row>
    <row r="72" spans="1:19" ht="15">
      <c r="A72" s="1">
        <v>4</v>
      </c>
      <c r="B72" s="1" t="s">
        <v>26</v>
      </c>
      <c r="C72" s="1" t="s">
        <v>27</v>
      </c>
      <c r="D72" s="1">
        <v>2026</v>
      </c>
      <c r="E72" s="1" t="s">
        <v>22</v>
      </c>
      <c r="F72" s="1">
        <v>53825630</v>
      </c>
      <c r="G72" s="1">
        <v>27784306</v>
      </c>
      <c r="H72" s="1">
        <v>26041324</v>
      </c>
      <c r="I72" s="1">
        <v>2755188</v>
      </c>
      <c r="J72" s="1">
        <v>83993</v>
      </c>
      <c r="K72" s="1">
        <v>5.12</v>
      </c>
      <c r="L72" s="1">
        <v>16.54</v>
      </c>
      <c r="M72" s="1">
        <v>33.28</v>
      </c>
      <c r="N72" s="1">
        <v>12.91</v>
      </c>
      <c r="O72" s="1">
        <v>27.74</v>
      </c>
      <c r="P72" s="1">
        <v>36.450000000000003</v>
      </c>
      <c r="Q72" s="1">
        <v>4036.96</v>
      </c>
      <c r="R72" s="1">
        <v>51</v>
      </c>
      <c r="S72" s="1">
        <v>64.400000000000006</v>
      </c>
    </row>
    <row r="73" spans="1:19" ht="15">
      <c r="A73" s="1">
        <v>4</v>
      </c>
      <c r="B73" s="1" t="s">
        <v>26</v>
      </c>
      <c r="C73" s="1" t="s">
        <v>27</v>
      </c>
      <c r="D73" s="1">
        <v>2026</v>
      </c>
      <c r="E73" s="1" t="s">
        <v>23</v>
      </c>
      <c r="F73" s="1">
        <v>70136063</v>
      </c>
      <c r="G73" s="1">
        <v>36357275</v>
      </c>
      <c r="H73" s="1">
        <v>33778788</v>
      </c>
      <c r="I73" s="1">
        <v>6324977</v>
      </c>
      <c r="J73" s="1">
        <v>335990</v>
      </c>
      <c r="K73" s="1">
        <v>9.02</v>
      </c>
      <c r="L73" s="1">
        <v>15.29</v>
      </c>
      <c r="M73" s="1">
        <v>34.15</v>
      </c>
      <c r="N73" s="1">
        <v>8.9700000000000006</v>
      </c>
      <c r="O73" s="1">
        <v>24.21</v>
      </c>
      <c r="P73" s="1">
        <v>25.62</v>
      </c>
      <c r="Q73" s="1">
        <v>8769.9</v>
      </c>
      <c r="R73" s="1">
        <v>47</v>
      </c>
      <c r="S73" s="1">
        <v>62.5</v>
      </c>
    </row>
    <row r="74" spans="1:19" ht="15">
      <c r="A74" s="1">
        <v>5</v>
      </c>
      <c r="B74" s="1" t="s">
        <v>28</v>
      </c>
      <c r="C74" s="1" t="s">
        <v>27</v>
      </c>
      <c r="D74" s="1">
        <v>2021</v>
      </c>
      <c r="E74" s="1" t="s">
        <v>21</v>
      </c>
      <c r="F74" s="1">
        <v>154366274</v>
      </c>
      <c r="G74" s="1">
        <v>79936603</v>
      </c>
      <c r="H74" s="1">
        <v>74429671</v>
      </c>
      <c r="I74" s="1">
        <v>12924862</v>
      </c>
      <c r="J74" s="1">
        <v>428133</v>
      </c>
      <c r="K74" s="1">
        <v>8.3699999999999992</v>
      </c>
      <c r="L74" s="1">
        <v>26.75</v>
      </c>
      <c r="M74" s="1">
        <v>34.299999999999997</v>
      </c>
      <c r="N74" s="1">
        <v>13.38</v>
      </c>
      <c r="O74" s="1">
        <v>20.2</v>
      </c>
      <c r="P74" s="1">
        <v>26.83</v>
      </c>
      <c r="Q74" s="1">
        <v>7275.5</v>
      </c>
      <c r="R74" s="1">
        <v>55</v>
      </c>
      <c r="S74" s="1">
        <v>71.599999999999994</v>
      </c>
    </row>
    <row r="75" spans="1:19" ht="15">
      <c r="A75" s="1">
        <v>5</v>
      </c>
      <c r="B75" s="1" t="s">
        <v>28</v>
      </c>
      <c r="C75" s="1" t="s">
        <v>27</v>
      </c>
      <c r="D75" s="1">
        <v>2021</v>
      </c>
      <c r="E75" s="1" t="s">
        <v>22</v>
      </c>
      <c r="F75" s="1">
        <v>177711740</v>
      </c>
      <c r="G75" s="1">
        <v>85851289</v>
      </c>
      <c r="H75" s="1">
        <v>91860451</v>
      </c>
      <c r="I75" s="1">
        <v>17180509</v>
      </c>
      <c r="J75" s="1">
        <v>1332980</v>
      </c>
      <c r="K75" s="1">
        <v>9.67</v>
      </c>
      <c r="L75" s="1">
        <v>19.72</v>
      </c>
      <c r="M75" s="1">
        <v>11.34</v>
      </c>
      <c r="N75" s="1">
        <v>13.39</v>
      </c>
      <c r="O75" s="1">
        <v>34.83</v>
      </c>
      <c r="P75" s="1">
        <v>39.28</v>
      </c>
      <c r="Q75" s="1">
        <v>584.11</v>
      </c>
      <c r="R75" s="1">
        <v>52</v>
      </c>
      <c r="S75" s="1">
        <v>66.5</v>
      </c>
    </row>
    <row r="76" spans="1:19" ht="15">
      <c r="A76" s="1">
        <v>5</v>
      </c>
      <c r="B76" s="1" t="s">
        <v>28</v>
      </c>
      <c r="C76" s="1" t="s">
        <v>27</v>
      </c>
      <c r="D76" s="1">
        <v>2021</v>
      </c>
      <c r="E76" s="1" t="s">
        <v>23</v>
      </c>
      <c r="F76" s="1">
        <v>87663395</v>
      </c>
      <c r="G76" s="1">
        <v>42456101</v>
      </c>
      <c r="H76" s="1">
        <v>45207294</v>
      </c>
      <c r="I76" s="1">
        <v>7605389</v>
      </c>
      <c r="J76" s="1">
        <v>357915</v>
      </c>
      <c r="K76" s="1">
        <v>8.68</v>
      </c>
      <c r="L76" s="1">
        <v>10.78</v>
      </c>
      <c r="M76" s="1">
        <v>13.34</v>
      </c>
      <c r="N76" s="1">
        <v>13.06</v>
      </c>
      <c r="O76" s="1">
        <v>32.119999999999997</v>
      </c>
      <c r="P76" s="1">
        <v>20.38</v>
      </c>
      <c r="Q76" s="1">
        <v>8504.49</v>
      </c>
      <c r="R76" s="1">
        <v>50</v>
      </c>
      <c r="S76" s="1">
        <v>75.5</v>
      </c>
    </row>
    <row r="77" spans="1:19" ht="15">
      <c r="A77" s="1">
        <v>5</v>
      </c>
      <c r="B77" s="1" t="s">
        <v>28</v>
      </c>
      <c r="C77" s="1" t="s">
        <v>27</v>
      </c>
      <c r="D77" s="1">
        <v>2022</v>
      </c>
      <c r="E77" s="1" t="s">
        <v>21</v>
      </c>
      <c r="F77" s="1">
        <v>26950553</v>
      </c>
      <c r="G77" s="1">
        <v>13642413</v>
      </c>
      <c r="H77" s="1">
        <v>13308140</v>
      </c>
      <c r="I77" s="1">
        <v>1354973</v>
      </c>
      <c r="J77" s="1">
        <v>75303</v>
      </c>
      <c r="K77" s="1">
        <v>5.03</v>
      </c>
      <c r="L77" s="1">
        <v>24.53</v>
      </c>
      <c r="M77" s="1">
        <v>28.96</v>
      </c>
      <c r="N77" s="1">
        <v>12.06</v>
      </c>
      <c r="O77" s="1">
        <v>37.700000000000003</v>
      </c>
      <c r="P77" s="1">
        <v>33.909999999999997</v>
      </c>
      <c r="Q77" s="1">
        <v>11102.88</v>
      </c>
      <c r="R77" s="1">
        <v>64</v>
      </c>
      <c r="S77" s="1">
        <v>60.8</v>
      </c>
    </row>
    <row r="78" spans="1:19" ht="15">
      <c r="A78" s="1">
        <v>5</v>
      </c>
      <c r="B78" s="1" t="s">
        <v>28</v>
      </c>
      <c r="C78" s="1" t="s">
        <v>27</v>
      </c>
      <c r="D78" s="1">
        <v>2022</v>
      </c>
      <c r="E78" s="1" t="s">
        <v>22</v>
      </c>
      <c r="F78" s="1">
        <v>83546593</v>
      </c>
      <c r="G78" s="1">
        <v>40707253</v>
      </c>
      <c r="H78" s="1">
        <v>42839340</v>
      </c>
      <c r="I78" s="1">
        <v>5379491</v>
      </c>
      <c r="J78" s="1">
        <v>172625</v>
      </c>
      <c r="K78" s="1">
        <v>6.44</v>
      </c>
      <c r="L78" s="1">
        <v>12.16</v>
      </c>
      <c r="M78" s="1">
        <v>22.97</v>
      </c>
      <c r="N78" s="1">
        <v>7.52</v>
      </c>
      <c r="O78" s="1">
        <v>25.71</v>
      </c>
      <c r="P78" s="1">
        <v>33.54</v>
      </c>
      <c r="Q78" s="1">
        <v>10328.82</v>
      </c>
      <c r="R78" s="1">
        <v>49</v>
      </c>
      <c r="S78" s="1">
        <v>68.5</v>
      </c>
    </row>
    <row r="79" spans="1:19" ht="15">
      <c r="A79" s="1">
        <v>5</v>
      </c>
      <c r="B79" s="1" t="s">
        <v>28</v>
      </c>
      <c r="C79" s="1" t="s">
        <v>27</v>
      </c>
      <c r="D79" s="1">
        <v>2022</v>
      </c>
      <c r="E79" s="1" t="s">
        <v>23</v>
      </c>
      <c r="F79" s="1">
        <v>172545921</v>
      </c>
      <c r="G79" s="1">
        <v>87719793</v>
      </c>
      <c r="H79" s="1">
        <v>84826128</v>
      </c>
      <c r="I79" s="1">
        <v>15980380</v>
      </c>
      <c r="J79" s="1">
        <v>600029</v>
      </c>
      <c r="K79" s="1">
        <v>9.26</v>
      </c>
      <c r="L79" s="1">
        <v>14.01</v>
      </c>
      <c r="M79" s="1">
        <v>26.2</v>
      </c>
      <c r="N79" s="1">
        <v>7.66</v>
      </c>
      <c r="O79" s="1">
        <v>23.85</v>
      </c>
      <c r="P79" s="1">
        <v>24.19</v>
      </c>
      <c r="Q79" s="1">
        <v>683.81</v>
      </c>
      <c r="R79" s="1">
        <v>67</v>
      </c>
      <c r="S79" s="1">
        <v>61.1</v>
      </c>
    </row>
    <row r="80" spans="1:19" ht="15">
      <c r="A80" s="1">
        <v>5</v>
      </c>
      <c r="B80" s="1" t="s">
        <v>28</v>
      </c>
      <c r="C80" s="1" t="s">
        <v>27</v>
      </c>
      <c r="D80" s="1">
        <v>2023</v>
      </c>
      <c r="E80" s="1" t="s">
        <v>21</v>
      </c>
      <c r="F80" s="1">
        <v>88225535</v>
      </c>
      <c r="G80" s="1">
        <v>43211844</v>
      </c>
      <c r="H80" s="1">
        <v>45013691</v>
      </c>
      <c r="I80" s="1">
        <v>5370915</v>
      </c>
      <c r="J80" s="1">
        <v>249598</v>
      </c>
      <c r="K80" s="1">
        <v>6.09</v>
      </c>
      <c r="L80" s="1">
        <v>12.51</v>
      </c>
      <c r="M80" s="1">
        <v>21.78</v>
      </c>
      <c r="N80" s="1">
        <v>11.88</v>
      </c>
      <c r="O80" s="1">
        <v>26.78</v>
      </c>
      <c r="P80" s="1">
        <v>38.18</v>
      </c>
      <c r="Q80" s="1">
        <v>10387.32</v>
      </c>
      <c r="R80" s="1">
        <v>74</v>
      </c>
      <c r="S80" s="1">
        <v>60.9</v>
      </c>
    </row>
    <row r="81" spans="1:19" ht="15">
      <c r="A81" s="1">
        <v>5</v>
      </c>
      <c r="B81" s="1" t="s">
        <v>28</v>
      </c>
      <c r="C81" s="1" t="s">
        <v>27</v>
      </c>
      <c r="D81" s="1">
        <v>2023</v>
      </c>
      <c r="E81" s="1" t="s">
        <v>22</v>
      </c>
      <c r="F81" s="1">
        <v>61897011</v>
      </c>
      <c r="G81" s="1">
        <v>31612516</v>
      </c>
      <c r="H81" s="1">
        <v>30284495</v>
      </c>
      <c r="I81" s="1">
        <v>3837652</v>
      </c>
      <c r="J81" s="1">
        <v>178865</v>
      </c>
      <c r="K81" s="1">
        <v>6.2</v>
      </c>
      <c r="L81" s="1">
        <v>21.59</v>
      </c>
      <c r="M81" s="1">
        <v>34.97</v>
      </c>
      <c r="N81" s="1">
        <v>8</v>
      </c>
      <c r="O81" s="1">
        <v>29.37</v>
      </c>
      <c r="P81" s="1">
        <v>30.69</v>
      </c>
      <c r="Q81" s="1">
        <v>8358.7800000000007</v>
      </c>
      <c r="R81" s="1">
        <v>50</v>
      </c>
      <c r="S81" s="1">
        <v>73.7</v>
      </c>
    </row>
    <row r="82" spans="1:19" ht="15">
      <c r="A82" s="1">
        <v>5</v>
      </c>
      <c r="B82" s="1" t="s">
        <v>28</v>
      </c>
      <c r="C82" s="1" t="s">
        <v>27</v>
      </c>
      <c r="D82" s="1">
        <v>2023</v>
      </c>
      <c r="E82" s="1" t="s">
        <v>23</v>
      </c>
      <c r="F82" s="1">
        <v>43221070</v>
      </c>
      <c r="G82" s="1">
        <v>21686788</v>
      </c>
      <c r="H82" s="1">
        <v>21534282</v>
      </c>
      <c r="I82" s="1">
        <v>3584279</v>
      </c>
      <c r="J82" s="1">
        <v>128137</v>
      </c>
      <c r="K82" s="1">
        <v>8.2899999999999991</v>
      </c>
      <c r="L82" s="1">
        <v>12.53</v>
      </c>
      <c r="M82" s="1">
        <v>34.39</v>
      </c>
      <c r="N82" s="1">
        <v>13.21</v>
      </c>
      <c r="O82" s="1">
        <v>36.549999999999997</v>
      </c>
      <c r="P82" s="1">
        <v>38.35</v>
      </c>
      <c r="Q82" s="1">
        <v>11547.45</v>
      </c>
      <c r="R82" s="1">
        <v>73</v>
      </c>
      <c r="S82" s="1">
        <v>77.3</v>
      </c>
    </row>
    <row r="83" spans="1:19" ht="15">
      <c r="A83" s="1">
        <v>5</v>
      </c>
      <c r="B83" s="1" t="s">
        <v>28</v>
      </c>
      <c r="C83" s="1" t="s">
        <v>27</v>
      </c>
      <c r="D83" s="1">
        <v>2024</v>
      </c>
      <c r="E83" s="1" t="s">
        <v>21</v>
      </c>
      <c r="F83" s="1">
        <v>79304018</v>
      </c>
      <c r="G83" s="1">
        <v>40101250</v>
      </c>
      <c r="H83" s="1">
        <v>39202768</v>
      </c>
      <c r="I83" s="1">
        <v>6185119</v>
      </c>
      <c r="J83" s="1">
        <v>395646</v>
      </c>
      <c r="K83" s="1">
        <v>7.8</v>
      </c>
      <c r="L83" s="1">
        <v>16.39</v>
      </c>
      <c r="M83" s="1">
        <v>31.55</v>
      </c>
      <c r="N83" s="1">
        <v>9.07</v>
      </c>
      <c r="O83" s="1">
        <v>22.96</v>
      </c>
      <c r="P83" s="1">
        <v>15.27</v>
      </c>
      <c r="Q83" s="1">
        <v>7850.68</v>
      </c>
      <c r="R83" s="1">
        <v>76</v>
      </c>
      <c r="S83" s="1">
        <v>82</v>
      </c>
    </row>
    <row r="84" spans="1:19" ht="15">
      <c r="A84" s="1">
        <v>5</v>
      </c>
      <c r="B84" s="1" t="s">
        <v>28</v>
      </c>
      <c r="C84" s="1" t="s">
        <v>27</v>
      </c>
      <c r="D84" s="1">
        <v>2024</v>
      </c>
      <c r="E84" s="1" t="s">
        <v>22</v>
      </c>
      <c r="F84" s="1">
        <v>47094706</v>
      </c>
      <c r="G84" s="1">
        <v>22972805</v>
      </c>
      <c r="H84" s="1">
        <v>24121901</v>
      </c>
      <c r="I84" s="1">
        <v>3099254</v>
      </c>
      <c r="J84" s="1">
        <v>245481</v>
      </c>
      <c r="K84" s="1">
        <v>6.58</v>
      </c>
      <c r="L84" s="1">
        <v>20.399999999999999</v>
      </c>
      <c r="M84" s="1">
        <v>33.049999999999997</v>
      </c>
      <c r="N84" s="1">
        <v>12.81</v>
      </c>
      <c r="O84" s="1">
        <v>22.38</v>
      </c>
      <c r="P84" s="1">
        <v>20.399999999999999</v>
      </c>
      <c r="Q84" s="1">
        <v>4952.54</v>
      </c>
      <c r="R84" s="1">
        <v>42</v>
      </c>
      <c r="S84" s="1">
        <v>67.7</v>
      </c>
    </row>
    <row r="85" spans="1:19" ht="15">
      <c r="A85" s="1">
        <v>5</v>
      </c>
      <c r="B85" s="1" t="s">
        <v>28</v>
      </c>
      <c r="C85" s="1" t="s">
        <v>27</v>
      </c>
      <c r="D85" s="1">
        <v>2024</v>
      </c>
      <c r="E85" s="1" t="s">
        <v>23</v>
      </c>
      <c r="F85" s="1">
        <v>176310293</v>
      </c>
      <c r="G85" s="1">
        <v>87894785</v>
      </c>
      <c r="H85" s="1">
        <v>88415508</v>
      </c>
      <c r="I85" s="1">
        <v>13053709</v>
      </c>
      <c r="J85" s="1">
        <v>603574</v>
      </c>
      <c r="K85" s="1">
        <v>7.4</v>
      </c>
      <c r="L85" s="1">
        <v>25.73</v>
      </c>
      <c r="M85" s="1">
        <v>11.37</v>
      </c>
      <c r="N85" s="1">
        <v>7.26</v>
      </c>
      <c r="O85" s="1">
        <v>36.5</v>
      </c>
      <c r="P85" s="1">
        <v>30.41</v>
      </c>
      <c r="Q85" s="1">
        <v>6385.99</v>
      </c>
      <c r="R85" s="1">
        <v>83</v>
      </c>
      <c r="S85" s="1">
        <v>63</v>
      </c>
    </row>
    <row r="86" spans="1:19" ht="15">
      <c r="A86" s="1">
        <v>5</v>
      </c>
      <c r="B86" s="1" t="s">
        <v>28</v>
      </c>
      <c r="C86" s="1" t="s">
        <v>27</v>
      </c>
      <c r="D86" s="1">
        <v>2025</v>
      </c>
      <c r="E86" s="1" t="s">
        <v>21</v>
      </c>
      <c r="F86" s="1">
        <v>74532084</v>
      </c>
      <c r="G86" s="1">
        <v>37137203</v>
      </c>
      <c r="H86" s="1">
        <v>37394881</v>
      </c>
      <c r="I86" s="1">
        <v>7405114</v>
      </c>
      <c r="J86" s="1">
        <v>442488</v>
      </c>
      <c r="K86" s="1">
        <v>9.94</v>
      </c>
      <c r="L86" s="1">
        <v>21.53</v>
      </c>
      <c r="M86" s="1">
        <v>34.75</v>
      </c>
      <c r="N86" s="1">
        <v>13.85</v>
      </c>
      <c r="O86" s="1">
        <v>39.979999999999997</v>
      </c>
      <c r="P86" s="1">
        <v>38.840000000000003</v>
      </c>
      <c r="Q86" s="1">
        <v>8176.21</v>
      </c>
      <c r="R86" s="1">
        <v>77</v>
      </c>
      <c r="S86" s="1">
        <v>74.400000000000006</v>
      </c>
    </row>
    <row r="87" spans="1:19" ht="15">
      <c r="A87" s="1">
        <v>5</v>
      </c>
      <c r="B87" s="1" t="s">
        <v>28</v>
      </c>
      <c r="C87" s="1" t="s">
        <v>27</v>
      </c>
      <c r="D87" s="1">
        <v>2025</v>
      </c>
      <c r="E87" s="1" t="s">
        <v>22</v>
      </c>
      <c r="F87" s="1">
        <v>61757126</v>
      </c>
      <c r="G87" s="1">
        <v>30503598</v>
      </c>
      <c r="H87" s="1">
        <v>31253528</v>
      </c>
      <c r="I87" s="1">
        <v>5591396</v>
      </c>
      <c r="J87" s="1">
        <v>206126</v>
      </c>
      <c r="K87" s="1">
        <v>9.0500000000000007</v>
      </c>
      <c r="L87" s="1">
        <v>19.25</v>
      </c>
      <c r="M87" s="1">
        <v>31.02</v>
      </c>
      <c r="N87" s="1">
        <v>9.5500000000000007</v>
      </c>
      <c r="O87" s="1">
        <v>32.020000000000003</v>
      </c>
      <c r="P87" s="1">
        <v>17.46</v>
      </c>
      <c r="Q87" s="1">
        <v>3778.71</v>
      </c>
      <c r="R87" s="1">
        <v>72</v>
      </c>
      <c r="S87" s="1">
        <v>75.099999999999994</v>
      </c>
    </row>
    <row r="88" spans="1:19" ht="15">
      <c r="A88" s="1">
        <v>5</v>
      </c>
      <c r="B88" s="1" t="s">
        <v>28</v>
      </c>
      <c r="C88" s="1" t="s">
        <v>27</v>
      </c>
      <c r="D88" s="1">
        <v>2025</v>
      </c>
      <c r="E88" s="1" t="s">
        <v>23</v>
      </c>
      <c r="F88" s="1">
        <v>190942560</v>
      </c>
      <c r="G88" s="1">
        <v>94439725</v>
      </c>
      <c r="H88" s="1">
        <v>96502835</v>
      </c>
      <c r="I88" s="1">
        <v>14481858</v>
      </c>
      <c r="J88" s="1">
        <v>995532</v>
      </c>
      <c r="K88" s="1">
        <v>7.58</v>
      </c>
      <c r="L88" s="1">
        <v>25.75</v>
      </c>
      <c r="M88" s="1">
        <v>30.7</v>
      </c>
      <c r="N88" s="1">
        <v>7.9</v>
      </c>
      <c r="O88" s="1">
        <v>24.77</v>
      </c>
      <c r="P88" s="1">
        <v>30.96</v>
      </c>
      <c r="Q88" s="1">
        <v>6562.81</v>
      </c>
      <c r="R88" s="1">
        <v>68</v>
      </c>
      <c r="S88" s="1">
        <v>64.900000000000006</v>
      </c>
    </row>
    <row r="89" spans="1:19" ht="15">
      <c r="A89" s="1">
        <v>5</v>
      </c>
      <c r="B89" s="1" t="s">
        <v>28</v>
      </c>
      <c r="C89" s="1" t="s">
        <v>27</v>
      </c>
      <c r="D89" s="1">
        <v>2026</v>
      </c>
      <c r="E89" s="1" t="s">
        <v>21</v>
      </c>
      <c r="F89" s="1">
        <v>113412463</v>
      </c>
      <c r="G89" s="1">
        <v>55883420</v>
      </c>
      <c r="H89" s="1">
        <v>57529043</v>
      </c>
      <c r="I89" s="1">
        <v>9935233</v>
      </c>
      <c r="J89" s="1">
        <v>476058</v>
      </c>
      <c r="K89" s="1">
        <v>8.76</v>
      </c>
      <c r="L89" s="1">
        <v>25.15</v>
      </c>
      <c r="M89" s="1">
        <v>11.17</v>
      </c>
      <c r="N89" s="1">
        <v>14.51</v>
      </c>
      <c r="O89" s="1">
        <v>24.16</v>
      </c>
      <c r="P89" s="1">
        <v>26.96</v>
      </c>
      <c r="Q89" s="1">
        <v>11090.18</v>
      </c>
      <c r="R89" s="1">
        <v>45</v>
      </c>
      <c r="S89" s="1">
        <v>65.2</v>
      </c>
    </row>
    <row r="90" spans="1:19" ht="15">
      <c r="A90" s="1">
        <v>5</v>
      </c>
      <c r="B90" s="1" t="s">
        <v>28</v>
      </c>
      <c r="C90" s="1" t="s">
        <v>27</v>
      </c>
      <c r="D90" s="1">
        <v>2026</v>
      </c>
      <c r="E90" s="1" t="s">
        <v>22</v>
      </c>
      <c r="F90" s="1">
        <v>51442456</v>
      </c>
      <c r="G90" s="1">
        <v>26720530</v>
      </c>
      <c r="H90" s="1">
        <v>24721926</v>
      </c>
      <c r="I90" s="1">
        <v>4898428</v>
      </c>
      <c r="J90" s="1">
        <v>277311</v>
      </c>
      <c r="K90" s="1">
        <v>9.52</v>
      </c>
      <c r="L90" s="1">
        <v>11.22</v>
      </c>
      <c r="M90" s="1">
        <v>25.12</v>
      </c>
      <c r="N90" s="1">
        <v>7.52</v>
      </c>
      <c r="O90" s="1">
        <v>24.28</v>
      </c>
      <c r="P90" s="1">
        <v>38.299999999999997</v>
      </c>
      <c r="Q90" s="1">
        <v>7623.37</v>
      </c>
      <c r="R90" s="1">
        <v>80</v>
      </c>
      <c r="S90" s="1">
        <v>61.4</v>
      </c>
    </row>
    <row r="91" spans="1:19" ht="15">
      <c r="A91" s="1">
        <v>5</v>
      </c>
      <c r="B91" s="1" t="s">
        <v>28</v>
      </c>
      <c r="C91" s="1" t="s">
        <v>27</v>
      </c>
      <c r="D91" s="1">
        <v>2026</v>
      </c>
      <c r="E91" s="1" t="s">
        <v>23</v>
      </c>
      <c r="F91" s="1">
        <v>89363865</v>
      </c>
      <c r="G91" s="1">
        <v>44223036</v>
      </c>
      <c r="H91" s="1">
        <v>45140829</v>
      </c>
      <c r="I91" s="1">
        <v>8328636</v>
      </c>
      <c r="J91" s="1">
        <v>375903</v>
      </c>
      <c r="K91" s="1">
        <v>9.32</v>
      </c>
      <c r="L91" s="1">
        <v>16.46</v>
      </c>
      <c r="M91" s="1">
        <v>25.17</v>
      </c>
      <c r="N91" s="1">
        <v>7.52</v>
      </c>
      <c r="O91" s="1">
        <v>31.14</v>
      </c>
      <c r="P91" s="1">
        <v>34.22</v>
      </c>
      <c r="Q91" s="1">
        <v>3796.75</v>
      </c>
      <c r="R91" s="1">
        <v>49</v>
      </c>
      <c r="S91" s="1">
        <v>73.3</v>
      </c>
    </row>
    <row r="92" spans="1:19" ht="15">
      <c r="A92" s="1">
        <v>6</v>
      </c>
      <c r="B92" s="1" t="s">
        <v>29</v>
      </c>
      <c r="C92" s="1" t="s">
        <v>27</v>
      </c>
      <c r="D92" s="1">
        <v>2021</v>
      </c>
      <c r="E92" s="1" t="s">
        <v>21</v>
      </c>
      <c r="F92" s="1">
        <v>95077423</v>
      </c>
      <c r="G92" s="1">
        <v>47018947</v>
      </c>
      <c r="H92" s="1">
        <v>48058476</v>
      </c>
      <c r="I92" s="1">
        <v>5816924</v>
      </c>
      <c r="J92" s="1">
        <v>207781</v>
      </c>
      <c r="K92" s="1">
        <v>6.12</v>
      </c>
      <c r="L92" s="1">
        <v>21.31</v>
      </c>
      <c r="M92" s="1">
        <v>33.44</v>
      </c>
      <c r="N92" s="1">
        <v>5.19</v>
      </c>
      <c r="O92" s="1">
        <v>37.31</v>
      </c>
      <c r="P92" s="1">
        <v>39.06</v>
      </c>
      <c r="Q92" s="1">
        <v>6736.75</v>
      </c>
      <c r="R92" s="1">
        <v>56</v>
      </c>
      <c r="S92" s="1">
        <v>76.2</v>
      </c>
    </row>
    <row r="93" spans="1:19" ht="15">
      <c r="A93" s="1">
        <v>6</v>
      </c>
      <c r="B93" s="1" t="s">
        <v>29</v>
      </c>
      <c r="C93" s="1" t="s">
        <v>27</v>
      </c>
      <c r="D93" s="1">
        <v>2021</v>
      </c>
      <c r="E93" s="1" t="s">
        <v>22</v>
      </c>
      <c r="F93" s="1">
        <v>193608808</v>
      </c>
      <c r="G93" s="1">
        <v>97154643</v>
      </c>
      <c r="H93" s="1">
        <v>96454165</v>
      </c>
      <c r="I93" s="1">
        <v>14169018</v>
      </c>
      <c r="J93" s="1">
        <v>755491</v>
      </c>
      <c r="K93" s="1">
        <v>7.32</v>
      </c>
      <c r="L93" s="1">
        <v>23.64</v>
      </c>
      <c r="M93" s="1">
        <v>15.86</v>
      </c>
      <c r="N93" s="1">
        <v>12.15</v>
      </c>
      <c r="O93" s="1">
        <v>29.82</v>
      </c>
      <c r="P93" s="1">
        <v>31.87</v>
      </c>
      <c r="Q93" s="1">
        <v>11319.91</v>
      </c>
      <c r="R93" s="1">
        <v>59</v>
      </c>
      <c r="S93" s="1">
        <v>69.3</v>
      </c>
    </row>
    <row r="94" spans="1:19" ht="15">
      <c r="A94" s="1">
        <v>6</v>
      </c>
      <c r="B94" s="1" t="s">
        <v>29</v>
      </c>
      <c r="C94" s="1" t="s">
        <v>27</v>
      </c>
      <c r="D94" s="1">
        <v>2021</v>
      </c>
      <c r="E94" s="1" t="s">
        <v>23</v>
      </c>
      <c r="F94" s="1">
        <v>47457282</v>
      </c>
      <c r="G94" s="1">
        <v>23301829</v>
      </c>
      <c r="H94" s="1">
        <v>24155453</v>
      </c>
      <c r="I94" s="1">
        <v>2497858</v>
      </c>
      <c r="J94" s="1">
        <v>152630</v>
      </c>
      <c r="K94" s="1">
        <v>5.26</v>
      </c>
      <c r="L94" s="1">
        <v>22.57</v>
      </c>
      <c r="M94" s="1">
        <v>34.99</v>
      </c>
      <c r="N94" s="1">
        <v>11.01</v>
      </c>
      <c r="O94" s="1">
        <v>27.92</v>
      </c>
      <c r="P94" s="1">
        <v>37.53</v>
      </c>
      <c r="Q94" s="1">
        <v>676.92</v>
      </c>
      <c r="R94" s="1">
        <v>47</v>
      </c>
      <c r="S94" s="1">
        <v>77.3</v>
      </c>
    </row>
    <row r="95" spans="1:19" ht="15">
      <c r="A95" s="1">
        <v>6</v>
      </c>
      <c r="B95" s="1" t="s">
        <v>29</v>
      </c>
      <c r="C95" s="1" t="s">
        <v>27</v>
      </c>
      <c r="D95" s="1">
        <v>2022</v>
      </c>
      <c r="E95" s="1" t="s">
        <v>21</v>
      </c>
      <c r="F95" s="1">
        <v>61238686</v>
      </c>
      <c r="G95" s="1">
        <v>29790139</v>
      </c>
      <c r="H95" s="1">
        <v>31448547</v>
      </c>
      <c r="I95" s="1">
        <v>4168015</v>
      </c>
      <c r="J95" s="1">
        <v>301985</v>
      </c>
      <c r="K95" s="1">
        <v>6.81</v>
      </c>
      <c r="L95" s="1">
        <v>16.89</v>
      </c>
      <c r="M95" s="1">
        <v>16.07</v>
      </c>
      <c r="N95" s="1">
        <v>13.91</v>
      </c>
      <c r="O95" s="1">
        <v>21.55</v>
      </c>
      <c r="P95" s="1">
        <v>36.42</v>
      </c>
      <c r="Q95" s="1">
        <v>4126.92</v>
      </c>
      <c r="R95" s="1">
        <v>75</v>
      </c>
      <c r="S95" s="1">
        <v>71.2</v>
      </c>
    </row>
    <row r="96" spans="1:19" ht="15">
      <c r="A96" s="1">
        <v>6</v>
      </c>
      <c r="B96" s="1" t="s">
        <v>29</v>
      </c>
      <c r="C96" s="1" t="s">
        <v>27</v>
      </c>
      <c r="D96" s="1">
        <v>2022</v>
      </c>
      <c r="E96" s="1" t="s">
        <v>22</v>
      </c>
      <c r="F96" s="1">
        <v>42349158</v>
      </c>
      <c r="G96" s="1">
        <v>21146489</v>
      </c>
      <c r="H96" s="1">
        <v>21202669</v>
      </c>
      <c r="I96" s="1">
        <v>4160163</v>
      </c>
      <c r="J96" s="1">
        <v>281332</v>
      </c>
      <c r="K96" s="1">
        <v>9.82</v>
      </c>
      <c r="L96" s="1">
        <v>19.2</v>
      </c>
      <c r="M96" s="1">
        <v>23.99</v>
      </c>
      <c r="N96" s="1">
        <v>8.18</v>
      </c>
      <c r="O96" s="1">
        <v>39.65</v>
      </c>
      <c r="P96" s="1">
        <v>24.65</v>
      </c>
      <c r="Q96" s="1">
        <v>10685.43</v>
      </c>
      <c r="R96" s="1">
        <v>47</v>
      </c>
      <c r="S96" s="1">
        <v>81.099999999999994</v>
      </c>
    </row>
    <row r="97" spans="1:19" ht="15">
      <c r="A97" s="1">
        <v>6</v>
      </c>
      <c r="B97" s="1" t="s">
        <v>29</v>
      </c>
      <c r="C97" s="1" t="s">
        <v>27</v>
      </c>
      <c r="D97" s="1">
        <v>2022</v>
      </c>
      <c r="E97" s="1" t="s">
        <v>23</v>
      </c>
      <c r="F97" s="1">
        <v>131559359</v>
      </c>
      <c r="G97" s="1">
        <v>65014360</v>
      </c>
      <c r="H97" s="1">
        <v>66544999</v>
      </c>
      <c r="I97" s="1">
        <v>9318983</v>
      </c>
      <c r="J97" s="1">
        <v>451657</v>
      </c>
      <c r="K97" s="1">
        <v>7.08</v>
      </c>
      <c r="L97" s="1">
        <v>26.54</v>
      </c>
      <c r="M97" s="1">
        <v>33.83</v>
      </c>
      <c r="N97" s="1">
        <v>13.25</v>
      </c>
      <c r="O97" s="1">
        <v>29.03</v>
      </c>
      <c r="P97" s="1">
        <v>35.729999999999997</v>
      </c>
      <c r="Q97" s="1">
        <v>8897.14</v>
      </c>
      <c r="R97" s="1">
        <v>83</v>
      </c>
      <c r="S97" s="1">
        <v>64.2</v>
      </c>
    </row>
    <row r="98" spans="1:19" ht="15">
      <c r="A98" s="1">
        <v>6</v>
      </c>
      <c r="B98" s="1" t="s">
        <v>29</v>
      </c>
      <c r="C98" s="1" t="s">
        <v>27</v>
      </c>
      <c r="D98" s="1">
        <v>2023</v>
      </c>
      <c r="E98" s="1" t="s">
        <v>21</v>
      </c>
      <c r="F98" s="1">
        <v>104307514</v>
      </c>
      <c r="G98" s="1">
        <v>51060075</v>
      </c>
      <c r="H98" s="1">
        <v>53247439</v>
      </c>
      <c r="I98" s="1">
        <v>8885770</v>
      </c>
      <c r="J98" s="1">
        <v>354870</v>
      </c>
      <c r="K98" s="1">
        <v>8.52</v>
      </c>
      <c r="L98" s="1">
        <v>21.21</v>
      </c>
      <c r="M98" s="1">
        <v>30.1</v>
      </c>
      <c r="N98" s="1">
        <v>11.54</v>
      </c>
      <c r="O98" s="1">
        <v>32.200000000000003</v>
      </c>
      <c r="P98" s="1">
        <v>21.44</v>
      </c>
      <c r="Q98" s="1">
        <v>1879.26</v>
      </c>
      <c r="R98" s="1">
        <v>70</v>
      </c>
      <c r="S98" s="1">
        <v>61.1</v>
      </c>
    </row>
    <row r="99" spans="1:19" ht="15">
      <c r="A99" s="1">
        <v>6</v>
      </c>
      <c r="B99" s="1" t="s">
        <v>29</v>
      </c>
      <c r="C99" s="1" t="s">
        <v>27</v>
      </c>
      <c r="D99" s="1">
        <v>2023</v>
      </c>
      <c r="E99" s="1" t="s">
        <v>22</v>
      </c>
      <c r="F99" s="1">
        <v>7748060</v>
      </c>
      <c r="G99" s="1">
        <v>3790897</v>
      </c>
      <c r="H99" s="1">
        <v>3957163</v>
      </c>
      <c r="I99" s="1">
        <v>603450</v>
      </c>
      <c r="J99" s="1">
        <v>30886</v>
      </c>
      <c r="K99" s="1">
        <v>7.79</v>
      </c>
      <c r="L99" s="1">
        <v>14.08</v>
      </c>
      <c r="M99" s="1">
        <v>17.57</v>
      </c>
      <c r="N99" s="1">
        <v>9.61</v>
      </c>
      <c r="O99" s="1">
        <v>35.979999999999997</v>
      </c>
      <c r="P99" s="1">
        <v>31.4</v>
      </c>
      <c r="Q99" s="1">
        <v>970.41</v>
      </c>
      <c r="R99" s="1">
        <v>62</v>
      </c>
      <c r="S99" s="1">
        <v>64.3</v>
      </c>
    </row>
    <row r="100" spans="1:19" ht="15">
      <c r="A100" s="1">
        <v>6</v>
      </c>
      <c r="B100" s="1" t="s">
        <v>29</v>
      </c>
      <c r="C100" s="1" t="s">
        <v>27</v>
      </c>
      <c r="D100" s="1">
        <v>2023</v>
      </c>
      <c r="E100" s="1" t="s">
        <v>23</v>
      </c>
      <c r="F100" s="1">
        <v>96822280</v>
      </c>
      <c r="G100" s="1">
        <v>49785369</v>
      </c>
      <c r="H100" s="1">
        <v>47036911</v>
      </c>
      <c r="I100" s="1">
        <v>9125036</v>
      </c>
      <c r="J100" s="1">
        <v>526817</v>
      </c>
      <c r="K100" s="1">
        <v>9.42</v>
      </c>
      <c r="L100" s="1">
        <v>24.73</v>
      </c>
      <c r="M100" s="1">
        <v>27.17</v>
      </c>
      <c r="N100" s="1">
        <v>13.17</v>
      </c>
      <c r="O100" s="1">
        <v>25.58</v>
      </c>
      <c r="P100" s="1">
        <v>20.73</v>
      </c>
      <c r="Q100" s="1">
        <v>9082.5499999999993</v>
      </c>
      <c r="R100" s="1">
        <v>74</v>
      </c>
      <c r="S100" s="1">
        <v>65.3</v>
      </c>
    </row>
    <row r="101" spans="1:19" ht="15">
      <c r="A101" s="1">
        <v>6</v>
      </c>
      <c r="B101" s="1" t="s">
        <v>29</v>
      </c>
      <c r="C101" s="1" t="s">
        <v>27</v>
      </c>
      <c r="D101" s="1">
        <v>2024</v>
      </c>
      <c r="E101" s="1" t="s">
        <v>21</v>
      </c>
      <c r="F101" s="1">
        <v>191857303</v>
      </c>
      <c r="G101" s="1">
        <v>96448768</v>
      </c>
      <c r="H101" s="1">
        <v>95408535</v>
      </c>
      <c r="I101" s="1">
        <v>14813489</v>
      </c>
      <c r="J101" s="1">
        <v>721089</v>
      </c>
      <c r="K101" s="1">
        <v>7.72</v>
      </c>
      <c r="L101" s="1">
        <v>25</v>
      </c>
      <c r="M101" s="1">
        <v>13.29</v>
      </c>
      <c r="N101" s="1">
        <v>8.7200000000000006</v>
      </c>
      <c r="O101" s="1">
        <v>28.62</v>
      </c>
      <c r="P101" s="1">
        <v>38.82</v>
      </c>
      <c r="Q101" s="1">
        <v>8369.49</v>
      </c>
      <c r="R101" s="1">
        <v>61</v>
      </c>
      <c r="S101" s="1">
        <v>83</v>
      </c>
    </row>
    <row r="102" spans="1:19" ht="15">
      <c r="A102" s="1">
        <v>6</v>
      </c>
      <c r="B102" s="1" t="s">
        <v>29</v>
      </c>
      <c r="C102" s="1" t="s">
        <v>27</v>
      </c>
      <c r="D102" s="1">
        <v>2024</v>
      </c>
      <c r="E102" s="1" t="s">
        <v>22</v>
      </c>
      <c r="F102" s="1">
        <v>142480816</v>
      </c>
      <c r="G102" s="1">
        <v>69683256</v>
      </c>
      <c r="H102" s="1">
        <v>72797560</v>
      </c>
      <c r="I102" s="1">
        <v>11423589</v>
      </c>
      <c r="J102" s="1">
        <v>404201</v>
      </c>
      <c r="K102" s="1">
        <v>8.02</v>
      </c>
      <c r="L102" s="1">
        <v>13.25</v>
      </c>
      <c r="M102" s="1">
        <v>27.4</v>
      </c>
      <c r="N102" s="1">
        <v>13.26</v>
      </c>
      <c r="O102" s="1">
        <v>32.72</v>
      </c>
      <c r="P102" s="1">
        <v>29.49</v>
      </c>
      <c r="Q102" s="1">
        <v>9592.25</v>
      </c>
      <c r="R102" s="1">
        <v>42</v>
      </c>
      <c r="S102" s="1">
        <v>81.3</v>
      </c>
    </row>
    <row r="103" spans="1:19" ht="15">
      <c r="A103" s="1">
        <v>6</v>
      </c>
      <c r="B103" s="1" t="s">
        <v>29</v>
      </c>
      <c r="C103" s="1" t="s">
        <v>27</v>
      </c>
      <c r="D103" s="1">
        <v>2024</v>
      </c>
      <c r="E103" s="1" t="s">
        <v>23</v>
      </c>
      <c r="F103" s="1">
        <v>191291246</v>
      </c>
      <c r="G103" s="1">
        <v>98008276</v>
      </c>
      <c r="H103" s="1">
        <v>93282970</v>
      </c>
      <c r="I103" s="1">
        <v>13697580</v>
      </c>
      <c r="J103" s="1">
        <v>935773</v>
      </c>
      <c r="K103" s="1">
        <v>7.16</v>
      </c>
      <c r="L103" s="1">
        <v>14.68</v>
      </c>
      <c r="M103" s="1">
        <v>32.6</v>
      </c>
      <c r="N103" s="1">
        <v>7.8</v>
      </c>
      <c r="O103" s="1">
        <v>39.61</v>
      </c>
      <c r="P103" s="1">
        <v>22.54</v>
      </c>
      <c r="Q103" s="1">
        <v>3536.96</v>
      </c>
      <c r="R103" s="1">
        <v>53</v>
      </c>
      <c r="S103" s="1">
        <v>71.2</v>
      </c>
    </row>
    <row r="104" spans="1:19" ht="15">
      <c r="A104" s="1">
        <v>6</v>
      </c>
      <c r="B104" s="1" t="s">
        <v>29</v>
      </c>
      <c r="C104" s="1" t="s">
        <v>27</v>
      </c>
      <c r="D104" s="1">
        <v>2025</v>
      </c>
      <c r="E104" s="1" t="s">
        <v>21</v>
      </c>
      <c r="F104" s="1">
        <v>67929160</v>
      </c>
      <c r="G104" s="1">
        <v>33149975</v>
      </c>
      <c r="H104" s="1">
        <v>34779185</v>
      </c>
      <c r="I104" s="1">
        <v>4292182</v>
      </c>
      <c r="J104" s="1">
        <v>318530</v>
      </c>
      <c r="K104" s="1">
        <v>6.32</v>
      </c>
      <c r="L104" s="1">
        <v>28.63</v>
      </c>
      <c r="M104" s="1">
        <v>13.88</v>
      </c>
      <c r="N104" s="1">
        <v>9.41</v>
      </c>
      <c r="O104" s="1">
        <v>28.4</v>
      </c>
      <c r="P104" s="1">
        <v>35.71</v>
      </c>
      <c r="Q104" s="1">
        <v>8094.76</v>
      </c>
      <c r="R104" s="1">
        <v>52</v>
      </c>
      <c r="S104" s="1">
        <v>78.099999999999994</v>
      </c>
    </row>
    <row r="105" spans="1:19" ht="15">
      <c r="A105" s="1">
        <v>6</v>
      </c>
      <c r="B105" s="1" t="s">
        <v>29</v>
      </c>
      <c r="C105" s="1" t="s">
        <v>27</v>
      </c>
      <c r="D105" s="1">
        <v>2025</v>
      </c>
      <c r="E105" s="1" t="s">
        <v>22</v>
      </c>
      <c r="F105" s="1">
        <v>82200293</v>
      </c>
      <c r="G105" s="1">
        <v>41445884</v>
      </c>
      <c r="H105" s="1">
        <v>40754409</v>
      </c>
      <c r="I105" s="1">
        <v>4970491</v>
      </c>
      <c r="J105" s="1">
        <v>346102</v>
      </c>
      <c r="K105" s="1">
        <v>6.05</v>
      </c>
      <c r="L105" s="1">
        <v>19.309999999999999</v>
      </c>
      <c r="M105" s="1">
        <v>32.17</v>
      </c>
      <c r="N105" s="1">
        <v>11.65</v>
      </c>
      <c r="O105" s="1">
        <v>23.02</v>
      </c>
      <c r="P105" s="1">
        <v>33.92</v>
      </c>
      <c r="Q105" s="1">
        <v>7183.87</v>
      </c>
      <c r="R105" s="1">
        <v>80</v>
      </c>
      <c r="S105" s="1">
        <v>69.7</v>
      </c>
    </row>
    <row r="106" spans="1:19" ht="15">
      <c r="A106" s="1">
        <v>6</v>
      </c>
      <c r="B106" s="1" t="s">
        <v>29</v>
      </c>
      <c r="C106" s="1" t="s">
        <v>27</v>
      </c>
      <c r="D106" s="1">
        <v>2025</v>
      </c>
      <c r="E106" s="1" t="s">
        <v>23</v>
      </c>
      <c r="F106" s="1">
        <v>108774312</v>
      </c>
      <c r="G106" s="1">
        <v>55095886</v>
      </c>
      <c r="H106" s="1">
        <v>53678426</v>
      </c>
      <c r="I106" s="1">
        <v>5782930</v>
      </c>
      <c r="J106" s="1">
        <v>319169</v>
      </c>
      <c r="K106" s="1">
        <v>5.32</v>
      </c>
      <c r="L106" s="1">
        <v>28.71</v>
      </c>
      <c r="M106" s="1">
        <v>15.12</v>
      </c>
      <c r="N106" s="1">
        <v>6.37</v>
      </c>
      <c r="O106" s="1">
        <v>28.21</v>
      </c>
      <c r="P106" s="1">
        <v>27.99</v>
      </c>
      <c r="Q106" s="1">
        <v>4830.05</v>
      </c>
      <c r="R106" s="1">
        <v>47</v>
      </c>
      <c r="S106" s="1">
        <v>75.5</v>
      </c>
    </row>
    <row r="107" spans="1:19" ht="15">
      <c r="A107" s="1">
        <v>6</v>
      </c>
      <c r="B107" s="1" t="s">
        <v>29</v>
      </c>
      <c r="C107" s="1" t="s">
        <v>27</v>
      </c>
      <c r="D107" s="1">
        <v>2026</v>
      </c>
      <c r="E107" s="1" t="s">
        <v>21</v>
      </c>
      <c r="F107" s="1">
        <v>97304264</v>
      </c>
      <c r="G107" s="1">
        <v>49791676</v>
      </c>
      <c r="H107" s="1">
        <v>47512588</v>
      </c>
      <c r="I107" s="1">
        <v>5116216</v>
      </c>
      <c r="J107" s="1">
        <v>251132</v>
      </c>
      <c r="K107" s="1">
        <v>5.26</v>
      </c>
      <c r="L107" s="1">
        <v>22.38</v>
      </c>
      <c r="M107" s="1">
        <v>10.52</v>
      </c>
      <c r="N107" s="1">
        <v>14.49</v>
      </c>
      <c r="O107" s="1">
        <v>32.82</v>
      </c>
      <c r="P107" s="1">
        <v>27.13</v>
      </c>
      <c r="Q107" s="1">
        <v>5655.61</v>
      </c>
      <c r="R107" s="1">
        <v>40</v>
      </c>
      <c r="S107" s="1">
        <v>61.5</v>
      </c>
    </row>
    <row r="108" spans="1:19" ht="15">
      <c r="A108" s="1">
        <v>6</v>
      </c>
      <c r="B108" s="1" t="s">
        <v>29</v>
      </c>
      <c r="C108" s="1" t="s">
        <v>27</v>
      </c>
      <c r="D108" s="1">
        <v>2026</v>
      </c>
      <c r="E108" s="1" t="s">
        <v>22</v>
      </c>
      <c r="F108" s="1">
        <v>30304278</v>
      </c>
      <c r="G108" s="1">
        <v>15371501</v>
      </c>
      <c r="H108" s="1">
        <v>14932777</v>
      </c>
      <c r="I108" s="1">
        <v>2915250</v>
      </c>
      <c r="J108" s="1">
        <v>202955</v>
      </c>
      <c r="K108" s="1">
        <v>9.6199999999999992</v>
      </c>
      <c r="L108" s="1">
        <v>10.43</v>
      </c>
      <c r="M108" s="1">
        <v>10.97</v>
      </c>
      <c r="N108" s="1">
        <v>10.130000000000001</v>
      </c>
      <c r="O108" s="1">
        <v>31.47</v>
      </c>
      <c r="P108" s="1">
        <v>30.16</v>
      </c>
      <c r="Q108" s="1">
        <v>10574.29</v>
      </c>
      <c r="R108" s="1">
        <v>49</v>
      </c>
      <c r="S108" s="1">
        <v>82.8</v>
      </c>
    </row>
    <row r="109" spans="1:19" ht="15">
      <c r="A109" s="1">
        <v>6</v>
      </c>
      <c r="B109" s="1" t="s">
        <v>29</v>
      </c>
      <c r="C109" s="1" t="s">
        <v>27</v>
      </c>
      <c r="D109" s="1">
        <v>2026</v>
      </c>
      <c r="E109" s="1" t="s">
        <v>23</v>
      </c>
      <c r="F109" s="1">
        <v>179675291</v>
      </c>
      <c r="G109" s="1">
        <v>88641987</v>
      </c>
      <c r="H109" s="1">
        <v>91033304</v>
      </c>
      <c r="I109" s="1">
        <v>13193052</v>
      </c>
      <c r="J109" s="1">
        <v>1051241</v>
      </c>
      <c r="K109" s="1">
        <v>7.34</v>
      </c>
      <c r="L109" s="1">
        <v>24.01</v>
      </c>
      <c r="M109" s="1">
        <v>11.44</v>
      </c>
      <c r="N109" s="1">
        <v>14.1</v>
      </c>
      <c r="O109" s="1">
        <v>32.33</v>
      </c>
      <c r="P109" s="1">
        <v>19.84</v>
      </c>
      <c r="Q109" s="1">
        <v>4498.88</v>
      </c>
      <c r="R109" s="1">
        <v>77</v>
      </c>
      <c r="S109" s="1">
        <v>75</v>
      </c>
    </row>
    <row r="110" spans="1:19" ht="15">
      <c r="A110" s="1">
        <v>7</v>
      </c>
      <c r="B110" s="1" t="s">
        <v>30</v>
      </c>
      <c r="C110" s="1" t="s">
        <v>27</v>
      </c>
      <c r="D110" s="1">
        <v>2021</v>
      </c>
      <c r="E110" s="1" t="s">
        <v>21</v>
      </c>
      <c r="F110" s="1">
        <v>115954199</v>
      </c>
      <c r="G110" s="1">
        <v>57563043</v>
      </c>
      <c r="H110" s="1">
        <v>58391156</v>
      </c>
      <c r="I110" s="1">
        <v>10113288</v>
      </c>
      <c r="J110" s="1">
        <v>572830</v>
      </c>
      <c r="K110" s="1">
        <v>8.7200000000000006</v>
      </c>
      <c r="L110" s="1">
        <v>29.5</v>
      </c>
      <c r="M110" s="1">
        <v>31.34</v>
      </c>
      <c r="N110" s="1">
        <v>6.5</v>
      </c>
      <c r="O110" s="1">
        <v>22.06</v>
      </c>
      <c r="P110" s="1">
        <v>36.340000000000003</v>
      </c>
      <c r="Q110" s="1">
        <v>7488.9</v>
      </c>
      <c r="R110" s="1">
        <v>63</v>
      </c>
      <c r="S110" s="1">
        <v>70</v>
      </c>
    </row>
    <row r="111" spans="1:19" ht="15">
      <c r="A111" s="1">
        <v>7</v>
      </c>
      <c r="B111" s="1" t="s">
        <v>30</v>
      </c>
      <c r="C111" s="1" t="s">
        <v>27</v>
      </c>
      <c r="D111" s="1">
        <v>2021</v>
      </c>
      <c r="E111" s="1" t="s">
        <v>22</v>
      </c>
      <c r="F111" s="1">
        <v>195268489</v>
      </c>
      <c r="G111" s="1">
        <v>95129327</v>
      </c>
      <c r="H111" s="1">
        <v>100139162</v>
      </c>
      <c r="I111" s="1">
        <v>10124557</v>
      </c>
      <c r="J111" s="1">
        <v>692815</v>
      </c>
      <c r="K111" s="1">
        <v>5.18</v>
      </c>
      <c r="L111" s="1">
        <v>11.67</v>
      </c>
      <c r="M111" s="1">
        <v>26.1</v>
      </c>
      <c r="N111" s="1">
        <v>10.64</v>
      </c>
      <c r="O111" s="1">
        <v>34.79</v>
      </c>
      <c r="P111" s="1">
        <v>38.6</v>
      </c>
      <c r="Q111" s="1">
        <v>3220</v>
      </c>
      <c r="R111" s="1">
        <v>42</v>
      </c>
      <c r="S111" s="1">
        <v>77.3</v>
      </c>
    </row>
    <row r="112" spans="1:19" ht="15">
      <c r="A112" s="1">
        <v>7</v>
      </c>
      <c r="B112" s="1" t="s">
        <v>30</v>
      </c>
      <c r="C112" s="1" t="s">
        <v>27</v>
      </c>
      <c r="D112" s="1">
        <v>2021</v>
      </c>
      <c r="E112" s="1" t="s">
        <v>23</v>
      </c>
      <c r="F112" s="1">
        <v>97038214</v>
      </c>
      <c r="G112" s="1">
        <v>47363801</v>
      </c>
      <c r="H112" s="1">
        <v>49674413</v>
      </c>
      <c r="I112" s="1">
        <v>5298342</v>
      </c>
      <c r="J112" s="1">
        <v>195514</v>
      </c>
      <c r="K112" s="1">
        <v>5.46</v>
      </c>
      <c r="L112" s="1">
        <v>28.63</v>
      </c>
      <c r="M112" s="1">
        <v>29.74</v>
      </c>
      <c r="N112" s="1">
        <v>7</v>
      </c>
      <c r="O112" s="1">
        <v>20.32</v>
      </c>
      <c r="P112" s="1">
        <v>30.95</v>
      </c>
      <c r="Q112" s="1">
        <v>4201.93</v>
      </c>
      <c r="R112" s="1">
        <v>82</v>
      </c>
      <c r="S112" s="1">
        <v>64.599999999999994</v>
      </c>
    </row>
    <row r="113" spans="1:19" ht="15">
      <c r="A113" s="1">
        <v>7</v>
      </c>
      <c r="B113" s="1" t="s">
        <v>30</v>
      </c>
      <c r="C113" s="1" t="s">
        <v>27</v>
      </c>
      <c r="D113" s="1">
        <v>2022</v>
      </c>
      <c r="E113" s="1" t="s">
        <v>21</v>
      </c>
      <c r="F113" s="1">
        <v>46362968</v>
      </c>
      <c r="G113" s="1">
        <v>23129975</v>
      </c>
      <c r="H113" s="1">
        <v>23232993</v>
      </c>
      <c r="I113" s="1">
        <v>3111538</v>
      </c>
      <c r="J113" s="1">
        <v>239622</v>
      </c>
      <c r="K113" s="1">
        <v>6.71</v>
      </c>
      <c r="L113" s="1">
        <v>21.32</v>
      </c>
      <c r="M113" s="1">
        <v>32.5</v>
      </c>
      <c r="N113" s="1">
        <v>14.25</v>
      </c>
      <c r="O113" s="1">
        <v>38</v>
      </c>
      <c r="P113" s="1">
        <v>27.46</v>
      </c>
      <c r="Q113" s="1">
        <v>7207.83</v>
      </c>
      <c r="R113" s="1">
        <v>62</v>
      </c>
      <c r="S113" s="1">
        <v>60.5</v>
      </c>
    </row>
    <row r="114" spans="1:19" ht="15">
      <c r="A114" s="1">
        <v>7</v>
      </c>
      <c r="B114" s="1" t="s">
        <v>30</v>
      </c>
      <c r="C114" s="1" t="s">
        <v>27</v>
      </c>
      <c r="D114" s="1">
        <v>2022</v>
      </c>
      <c r="E114" s="1" t="s">
        <v>22</v>
      </c>
      <c r="F114" s="1">
        <v>107317521</v>
      </c>
      <c r="G114" s="1">
        <v>55575065</v>
      </c>
      <c r="H114" s="1">
        <v>51742456</v>
      </c>
      <c r="I114" s="1">
        <v>6176608</v>
      </c>
      <c r="J114" s="1">
        <v>356222</v>
      </c>
      <c r="K114" s="1">
        <v>5.76</v>
      </c>
      <c r="L114" s="1">
        <v>23.65</v>
      </c>
      <c r="M114" s="1">
        <v>29.66</v>
      </c>
      <c r="N114" s="1">
        <v>10.42</v>
      </c>
      <c r="O114" s="1">
        <v>32.78</v>
      </c>
      <c r="P114" s="1">
        <v>35.68</v>
      </c>
      <c r="Q114" s="1">
        <v>7900.58</v>
      </c>
      <c r="R114" s="1">
        <v>55</v>
      </c>
      <c r="S114" s="1">
        <v>79.599999999999994</v>
      </c>
    </row>
    <row r="115" spans="1:19" ht="15">
      <c r="A115" s="1">
        <v>7</v>
      </c>
      <c r="B115" s="1" t="s">
        <v>30</v>
      </c>
      <c r="C115" s="1" t="s">
        <v>27</v>
      </c>
      <c r="D115" s="1">
        <v>2022</v>
      </c>
      <c r="E115" s="1" t="s">
        <v>23</v>
      </c>
      <c r="F115" s="1">
        <v>133701521</v>
      </c>
      <c r="G115" s="1">
        <v>64569340</v>
      </c>
      <c r="H115" s="1">
        <v>69132181</v>
      </c>
      <c r="I115" s="1">
        <v>10151428</v>
      </c>
      <c r="J115" s="1">
        <v>318019</v>
      </c>
      <c r="K115" s="1">
        <v>7.59</v>
      </c>
      <c r="L115" s="1">
        <v>13.03</v>
      </c>
      <c r="M115" s="1">
        <v>10.71</v>
      </c>
      <c r="N115" s="1">
        <v>13.66</v>
      </c>
      <c r="O115" s="1">
        <v>26.59</v>
      </c>
      <c r="P115" s="1">
        <v>28.03</v>
      </c>
      <c r="Q115" s="1">
        <v>9553.4699999999993</v>
      </c>
      <c r="R115" s="1">
        <v>67</v>
      </c>
      <c r="S115" s="1">
        <v>81.3</v>
      </c>
    </row>
    <row r="116" spans="1:19" ht="15">
      <c r="A116" s="1">
        <v>7</v>
      </c>
      <c r="B116" s="1" t="s">
        <v>30</v>
      </c>
      <c r="C116" s="1" t="s">
        <v>27</v>
      </c>
      <c r="D116" s="1">
        <v>2023</v>
      </c>
      <c r="E116" s="1" t="s">
        <v>21</v>
      </c>
      <c r="F116" s="1">
        <v>138090468</v>
      </c>
      <c r="G116" s="1">
        <v>68988913</v>
      </c>
      <c r="H116" s="1">
        <v>69101555</v>
      </c>
      <c r="I116" s="1">
        <v>11754521</v>
      </c>
      <c r="J116" s="1">
        <v>862637</v>
      </c>
      <c r="K116" s="1">
        <v>8.51</v>
      </c>
      <c r="L116" s="1">
        <v>12.14</v>
      </c>
      <c r="M116" s="1">
        <v>21.75</v>
      </c>
      <c r="N116" s="1">
        <v>5.88</v>
      </c>
      <c r="O116" s="1">
        <v>31.14</v>
      </c>
      <c r="P116" s="1">
        <v>22.83</v>
      </c>
      <c r="Q116" s="1">
        <v>10165.73</v>
      </c>
      <c r="R116" s="1">
        <v>66</v>
      </c>
      <c r="S116" s="1">
        <v>63.7</v>
      </c>
    </row>
    <row r="117" spans="1:19" ht="15">
      <c r="A117" s="1">
        <v>7</v>
      </c>
      <c r="B117" s="1" t="s">
        <v>30</v>
      </c>
      <c r="C117" s="1" t="s">
        <v>27</v>
      </c>
      <c r="D117" s="1">
        <v>2023</v>
      </c>
      <c r="E117" s="1" t="s">
        <v>22</v>
      </c>
      <c r="F117" s="1">
        <v>93590438</v>
      </c>
      <c r="G117" s="1">
        <v>46517687</v>
      </c>
      <c r="H117" s="1">
        <v>47072751</v>
      </c>
      <c r="I117" s="1">
        <v>4771761</v>
      </c>
      <c r="J117" s="1">
        <v>207258</v>
      </c>
      <c r="K117" s="1">
        <v>5.0999999999999996</v>
      </c>
      <c r="L117" s="1">
        <v>17.66</v>
      </c>
      <c r="M117" s="1">
        <v>10.66</v>
      </c>
      <c r="N117" s="1">
        <v>6.4</v>
      </c>
      <c r="O117" s="1">
        <v>25.93</v>
      </c>
      <c r="P117" s="1">
        <v>23.44</v>
      </c>
      <c r="Q117" s="1">
        <v>5532.16</v>
      </c>
      <c r="R117" s="1">
        <v>79</v>
      </c>
      <c r="S117" s="1">
        <v>66.8</v>
      </c>
    </row>
    <row r="118" spans="1:19" ht="15">
      <c r="A118" s="1">
        <v>7</v>
      </c>
      <c r="B118" s="1" t="s">
        <v>30</v>
      </c>
      <c r="C118" s="1" t="s">
        <v>27</v>
      </c>
      <c r="D118" s="1">
        <v>2023</v>
      </c>
      <c r="E118" s="1" t="s">
        <v>23</v>
      </c>
      <c r="F118" s="1">
        <v>24467551</v>
      </c>
      <c r="G118" s="1">
        <v>12196661</v>
      </c>
      <c r="H118" s="1">
        <v>12270890</v>
      </c>
      <c r="I118" s="1">
        <v>1653924</v>
      </c>
      <c r="J118" s="1">
        <v>111622</v>
      </c>
      <c r="K118" s="1">
        <v>6.76</v>
      </c>
      <c r="L118" s="1">
        <v>25.62</v>
      </c>
      <c r="M118" s="1">
        <v>10.44</v>
      </c>
      <c r="N118" s="1">
        <v>6.62</v>
      </c>
      <c r="O118" s="1">
        <v>22.04</v>
      </c>
      <c r="P118" s="1">
        <v>23.82</v>
      </c>
      <c r="Q118" s="1">
        <v>4597</v>
      </c>
      <c r="R118" s="1">
        <v>54</v>
      </c>
      <c r="S118" s="1">
        <v>77.2</v>
      </c>
    </row>
    <row r="119" spans="1:19" ht="15">
      <c r="A119" s="1">
        <v>7</v>
      </c>
      <c r="B119" s="1" t="s">
        <v>30</v>
      </c>
      <c r="C119" s="1" t="s">
        <v>27</v>
      </c>
      <c r="D119" s="1">
        <v>2024</v>
      </c>
      <c r="E119" s="1" t="s">
        <v>21</v>
      </c>
      <c r="F119" s="1">
        <v>109463865</v>
      </c>
      <c r="G119" s="1">
        <v>56406356</v>
      </c>
      <c r="H119" s="1">
        <v>53057509</v>
      </c>
      <c r="I119" s="1">
        <v>9211373</v>
      </c>
      <c r="J119" s="1">
        <v>550625</v>
      </c>
      <c r="K119" s="1">
        <v>8.41</v>
      </c>
      <c r="L119" s="1">
        <v>29.89</v>
      </c>
      <c r="M119" s="1">
        <v>26.05</v>
      </c>
      <c r="N119" s="1">
        <v>8.89</v>
      </c>
      <c r="O119" s="1">
        <v>26.1</v>
      </c>
      <c r="P119" s="1">
        <v>15.89</v>
      </c>
      <c r="Q119" s="1">
        <v>11357.59</v>
      </c>
      <c r="R119" s="1">
        <v>72</v>
      </c>
      <c r="S119" s="1">
        <v>77.3</v>
      </c>
    </row>
    <row r="120" spans="1:19" ht="15">
      <c r="A120" s="1">
        <v>7</v>
      </c>
      <c r="B120" s="1" t="s">
        <v>30</v>
      </c>
      <c r="C120" s="1" t="s">
        <v>27</v>
      </c>
      <c r="D120" s="1">
        <v>2024</v>
      </c>
      <c r="E120" s="1" t="s">
        <v>22</v>
      </c>
      <c r="F120" s="1">
        <v>31212119</v>
      </c>
      <c r="G120" s="1">
        <v>16074274</v>
      </c>
      <c r="H120" s="1">
        <v>15137845</v>
      </c>
      <c r="I120" s="1">
        <v>2751228</v>
      </c>
      <c r="J120" s="1">
        <v>146526</v>
      </c>
      <c r="K120" s="1">
        <v>8.81</v>
      </c>
      <c r="L120" s="1">
        <v>29.12</v>
      </c>
      <c r="M120" s="1">
        <v>32.31</v>
      </c>
      <c r="N120" s="1">
        <v>9.4600000000000009</v>
      </c>
      <c r="O120" s="1">
        <v>28.54</v>
      </c>
      <c r="P120" s="1">
        <v>18.79</v>
      </c>
      <c r="Q120" s="1">
        <v>1677.68</v>
      </c>
      <c r="R120" s="1">
        <v>56</v>
      </c>
      <c r="S120" s="1">
        <v>68.2</v>
      </c>
    </row>
    <row r="121" spans="1:19" ht="15">
      <c r="A121" s="1">
        <v>7</v>
      </c>
      <c r="B121" s="1" t="s">
        <v>30</v>
      </c>
      <c r="C121" s="1" t="s">
        <v>27</v>
      </c>
      <c r="D121" s="1">
        <v>2024</v>
      </c>
      <c r="E121" s="1" t="s">
        <v>23</v>
      </c>
      <c r="F121" s="1">
        <v>194401166</v>
      </c>
      <c r="G121" s="1">
        <v>93846034</v>
      </c>
      <c r="H121" s="1">
        <v>100555132</v>
      </c>
      <c r="I121" s="1">
        <v>16868964</v>
      </c>
      <c r="J121" s="1">
        <v>1316770</v>
      </c>
      <c r="K121" s="1">
        <v>8.68</v>
      </c>
      <c r="L121" s="1">
        <v>23.75</v>
      </c>
      <c r="M121" s="1">
        <v>32.69</v>
      </c>
      <c r="N121" s="1">
        <v>13.7</v>
      </c>
      <c r="O121" s="1">
        <v>32.92</v>
      </c>
      <c r="P121" s="1">
        <v>28.07</v>
      </c>
      <c r="Q121" s="1">
        <v>4615.87</v>
      </c>
      <c r="R121" s="1">
        <v>49</v>
      </c>
      <c r="S121" s="1">
        <v>71.400000000000006</v>
      </c>
    </row>
    <row r="122" spans="1:19" ht="15">
      <c r="A122" s="1">
        <v>7</v>
      </c>
      <c r="B122" s="1" t="s">
        <v>30</v>
      </c>
      <c r="C122" s="1" t="s">
        <v>27</v>
      </c>
      <c r="D122" s="1">
        <v>2025</v>
      </c>
      <c r="E122" s="1" t="s">
        <v>21</v>
      </c>
      <c r="F122" s="1">
        <v>95547973</v>
      </c>
      <c r="G122" s="1">
        <v>46520651</v>
      </c>
      <c r="H122" s="1">
        <v>49027322</v>
      </c>
      <c r="I122" s="1">
        <v>7143773</v>
      </c>
      <c r="J122" s="1">
        <v>450471</v>
      </c>
      <c r="K122" s="1">
        <v>7.48</v>
      </c>
      <c r="L122" s="1">
        <v>21.71</v>
      </c>
      <c r="M122" s="1">
        <v>28.45</v>
      </c>
      <c r="N122" s="1">
        <v>8.36</v>
      </c>
      <c r="O122" s="1">
        <v>20</v>
      </c>
      <c r="P122" s="1">
        <v>20.32</v>
      </c>
      <c r="Q122" s="1">
        <v>3831.5</v>
      </c>
      <c r="R122" s="1">
        <v>54</v>
      </c>
      <c r="S122" s="1">
        <v>72.7</v>
      </c>
    </row>
    <row r="123" spans="1:19" ht="15">
      <c r="A123" s="1">
        <v>7</v>
      </c>
      <c r="B123" s="1" t="s">
        <v>30</v>
      </c>
      <c r="C123" s="1" t="s">
        <v>27</v>
      </c>
      <c r="D123" s="1">
        <v>2025</v>
      </c>
      <c r="E123" s="1" t="s">
        <v>22</v>
      </c>
      <c r="F123" s="1">
        <v>159315358</v>
      </c>
      <c r="G123" s="1">
        <v>80662461</v>
      </c>
      <c r="H123" s="1">
        <v>78652897</v>
      </c>
      <c r="I123" s="1">
        <v>9749645</v>
      </c>
      <c r="J123" s="1">
        <v>520639</v>
      </c>
      <c r="K123" s="1">
        <v>6.12</v>
      </c>
      <c r="L123" s="1">
        <v>10.039999999999999</v>
      </c>
      <c r="M123" s="1">
        <v>27.16</v>
      </c>
      <c r="N123" s="1">
        <v>13.65</v>
      </c>
      <c r="O123" s="1">
        <v>37.17</v>
      </c>
      <c r="P123" s="1">
        <v>36.869999999999997</v>
      </c>
      <c r="Q123" s="1">
        <v>2755.52</v>
      </c>
      <c r="R123" s="1">
        <v>57</v>
      </c>
      <c r="S123" s="1">
        <v>82.6</v>
      </c>
    </row>
    <row r="124" spans="1:19" ht="15">
      <c r="A124" s="1">
        <v>7</v>
      </c>
      <c r="B124" s="1" t="s">
        <v>30</v>
      </c>
      <c r="C124" s="1" t="s">
        <v>27</v>
      </c>
      <c r="D124" s="1">
        <v>2025</v>
      </c>
      <c r="E124" s="1" t="s">
        <v>23</v>
      </c>
      <c r="F124" s="1">
        <v>106281573</v>
      </c>
      <c r="G124" s="1">
        <v>51804103</v>
      </c>
      <c r="H124" s="1">
        <v>54477470</v>
      </c>
      <c r="I124" s="1">
        <v>5797947</v>
      </c>
      <c r="J124" s="1">
        <v>194514</v>
      </c>
      <c r="K124" s="1">
        <v>5.46</v>
      </c>
      <c r="L124" s="1">
        <v>22.74</v>
      </c>
      <c r="M124" s="1">
        <v>25.71</v>
      </c>
      <c r="N124" s="1">
        <v>12.87</v>
      </c>
      <c r="O124" s="1">
        <v>33.17</v>
      </c>
      <c r="P124" s="1">
        <v>27.99</v>
      </c>
      <c r="Q124" s="1">
        <v>2372.4499999999998</v>
      </c>
      <c r="R124" s="1">
        <v>64</v>
      </c>
      <c r="S124" s="1">
        <v>76.900000000000006</v>
      </c>
    </row>
    <row r="125" spans="1:19" ht="15">
      <c r="A125" s="1">
        <v>7</v>
      </c>
      <c r="B125" s="1" t="s">
        <v>30</v>
      </c>
      <c r="C125" s="1" t="s">
        <v>27</v>
      </c>
      <c r="D125" s="1">
        <v>2026</v>
      </c>
      <c r="E125" s="1" t="s">
        <v>21</v>
      </c>
      <c r="F125" s="1">
        <v>151049467</v>
      </c>
      <c r="G125" s="1">
        <v>76493296</v>
      </c>
      <c r="H125" s="1">
        <v>74556171</v>
      </c>
      <c r="I125" s="1">
        <v>8800977</v>
      </c>
      <c r="J125" s="1">
        <v>333914</v>
      </c>
      <c r="K125" s="1">
        <v>5.83</v>
      </c>
      <c r="L125" s="1">
        <v>28.12</v>
      </c>
      <c r="M125" s="1">
        <v>33.18</v>
      </c>
      <c r="N125" s="1">
        <v>12.2</v>
      </c>
      <c r="O125" s="1">
        <v>24.57</v>
      </c>
      <c r="P125" s="1">
        <v>26.73</v>
      </c>
      <c r="Q125" s="1">
        <v>4481.28</v>
      </c>
      <c r="R125" s="1">
        <v>40</v>
      </c>
      <c r="S125" s="1">
        <v>62.7</v>
      </c>
    </row>
    <row r="126" spans="1:19" ht="15">
      <c r="A126" s="1">
        <v>7</v>
      </c>
      <c r="B126" s="1" t="s">
        <v>30</v>
      </c>
      <c r="C126" s="1" t="s">
        <v>27</v>
      </c>
      <c r="D126" s="1">
        <v>2026</v>
      </c>
      <c r="E126" s="1" t="s">
        <v>22</v>
      </c>
      <c r="F126" s="1">
        <v>37722683</v>
      </c>
      <c r="G126" s="1">
        <v>18194357</v>
      </c>
      <c r="H126" s="1">
        <v>19528326</v>
      </c>
      <c r="I126" s="1">
        <v>3720020</v>
      </c>
      <c r="J126" s="1">
        <v>155551</v>
      </c>
      <c r="K126" s="1">
        <v>9.86</v>
      </c>
      <c r="L126" s="1">
        <v>17.739999999999998</v>
      </c>
      <c r="M126" s="1">
        <v>16.170000000000002</v>
      </c>
      <c r="N126" s="1">
        <v>11.51</v>
      </c>
      <c r="O126" s="1">
        <v>31.25</v>
      </c>
      <c r="P126" s="1">
        <v>34.14</v>
      </c>
      <c r="Q126" s="1">
        <v>631.29999999999995</v>
      </c>
      <c r="R126" s="1">
        <v>50</v>
      </c>
      <c r="S126" s="1">
        <v>64.7</v>
      </c>
    </row>
    <row r="127" spans="1:19" ht="15">
      <c r="A127" s="1">
        <v>7</v>
      </c>
      <c r="B127" s="1" t="s">
        <v>30</v>
      </c>
      <c r="C127" s="1" t="s">
        <v>27</v>
      </c>
      <c r="D127" s="1">
        <v>2026</v>
      </c>
      <c r="E127" s="1" t="s">
        <v>23</v>
      </c>
      <c r="F127" s="1">
        <v>149113278</v>
      </c>
      <c r="G127" s="1">
        <v>75013324</v>
      </c>
      <c r="H127" s="1">
        <v>74099954</v>
      </c>
      <c r="I127" s="1">
        <v>13602400</v>
      </c>
      <c r="J127" s="1">
        <v>462853</v>
      </c>
      <c r="K127" s="1">
        <v>9.1199999999999992</v>
      </c>
      <c r="L127" s="1">
        <v>17.420000000000002</v>
      </c>
      <c r="M127" s="1">
        <v>20.09</v>
      </c>
      <c r="N127" s="1">
        <v>10.130000000000001</v>
      </c>
      <c r="O127" s="1">
        <v>27.03</v>
      </c>
      <c r="P127" s="1">
        <v>33.369999999999997</v>
      </c>
      <c r="Q127" s="1">
        <v>1699.6</v>
      </c>
      <c r="R127" s="1">
        <v>66</v>
      </c>
      <c r="S127" s="1">
        <v>61.4</v>
      </c>
    </row>
    <row r="128" spans="1:19" ht="15">
      <c r="A128" s="1">
        <v>8</v>
      </c>
      <c r="B128" s="1" t="s">
        <v>31</v>
      </c>
      <c r="C128" s="1" t="s">
        <v>27</v>
      </c>
      <c r="D128" s="1">
        <v>2021</v>
      </c>
      <c r="E128" s="1" t="s">
        <v>21</v>
      </c>
      <c r="F128" s="1">
        <v>11457100</v>
      </c>
      <c r="G128" s="1">
        <v>5540364</v>
      </c>
      <c r="H128" s="1">
        <v>5916736</v>
      </c>
      <c r="I128" s="1">
        <v>797649</v>
      </c>
      <c r="J128" s="1">
        <v>46998</v>
      </c>
      <c r="K128" s="1">
        <v>6.96</v>
      </c>
      <c r="L128" s="1">
        <v>11.68</v>
      </c>
      <c r="M128" s="1">
        <v>21.49</v>
      </c>
      <c r="N128" s="1">
        <v>10.55</v>
      </c>
      <c r="O128" s="1">
        <v>31.29</v>
      </c>
      <c r="P128" s="1">
        <v>15.76</v>
      </c>
      <c r="Q128" s="1">
        <v>9392.19</v>
      </c>
      <c r="R128" s="1">
        <v>54</v>
      </c>
      <c r="S128" s="1">
        <v>76.599999999999994</v>
      </c>
    </row>
    <row r="129" spans="1:19" ht="15">
      <c r="A129" s="1">
        <v>8</v>
      </c>
      <c r="B129" s="1" t="s">
        <v>31</v>
      </c>
      <c r="C129" s="1" t="s">
        <v>27</v>
      </c>
      <c r="D129" s="1">
        <v>2021</v>
      </c>
      <c r="E129" s="1" t="s">
        <v>22</v>
      </c>
      <c r="F129" s="1">
        <v>20040647</v>
      </c>
      <c r="G129" s="1">
        <v>9997353</v>
      </c>
      <c r="H129" s="1">
        <v>10043294</v>
      </c>
      <c r="I129" s="1">
        <v>1742716</v>
      </c>
      <c r="J129" s="1">
        <v>124959</v>
      </c>
      <c r="K129" s="1">
        <v>8.6999999999999993</v>
      </c>
      <c r="L129" s="1">
        <v>14.95</v>
      </c>
      <c r="M129" s="1">
        <v>29.27</v>
      </c>
      <c r="N129" s="1">
        <v>9.24</v>
      </c>
      <c r="O129" s="1">
        <v>39.06</v>
      </c>
      <c r="P129" s="1">
        <v>36.96</v>
      </c>
      <c r="Q129" s="1">
        <v>4616.8999999999996</v>
      </c>
      <c r="R129" s="1">
        <v>53</v>
      </c>
      <c r="S129" s="1">
        <v>68.3</v>
      </c>
    </row>
    <row r="130" spans="1:19" ht="15">
      <c r="A130" s="1">
        <v>8</v>
      </c>
      <c r="B130" s="1" t="s">
        <v>31</v>
      </c>
      <c r="C130" s="1" t="s">
        <v>27</v>
      </c>
      <c r="D130" s="1">
        <v>2021</v>
      </c>
      <c r="E130" s="1" t="s">
        <v>23</v>
      </c>
      <c r="F130" s="1">
        <v>186522188</v>
      </c>
      <c r="G130" s="1">
        <v>96697913</v>
      </c>
      <c r="H130" s="1">
        <v>89824275</v>
      </c>
      <c r="I130" s="1">
        <v>10668887</v>
      </c>
      <c r="J130" s="1">
        <v>612874</v>
      </c>
      <c r="K130" s="1">
        <v>5.72</v>
      </c>
      <c r="L130" s="1">
        <v>22.95</v>
      </c>
      <c r="M130" s="1">
        <v>28</v>
      </c>
      <c r="N130" s="1">
        <v>5.67</v>
      </c>
      <c r="O130" s="1">
        <v>31.99</v>
      </c>
      <c r="P130" s="1">
        <v>26.26</v>
      </c>
      <c r="Q130" s="1">
        <v>4403.29</v>
      </c>
      <c r="R130" s="1">
        <v>61</v>
      </c>
      <c r="S130" s="1">
        <v>82.3</v>
      </c>
    </row>
    <row r="131" spans="1:19" ht="15">
      <c r="A131" s="1">
        <v>8</v>
      </c>
      <c r="B131" s="1" t="s">
        <v>31</v>
      </c>
      <c r="C131" s="1" t="s">
        <v>27</v>
      </c>
      <c r="D131" s="1">
        <v>2022</v>
      </c>
      <c r="E131" s="1" t="s">
        <v>21</v>
      </c>
      <c r="F131" s="1">
        <v>137558135</v>
      </c>
      <c r="G131" s="1">
        <v>69927357</v>
      </c>
      <c r="H131" s="1">
        <v>67630778</v>
      </c>
      <c r="I131" s="1">
        <v>8283478</v>
      </c>
      <c r="J131" s="1">
        <v>641183</v>
      </c>
      <c r="K131" s="1">
        <v>6.02</v>
      </c>
      <c r="L131" s="1">
        <v>20.010000000000002</v>
      </c>
      <c r="M131" s="1">
        <v>21.33</v>
      </c>
      <c r="N131" s="1">
        <v>7.49</v>
      </c>
      <c r="O131" s="1">
        <v>30.68</v>
      </c>
      <c r="P131" s="1">
        <v>36.61</v>
      </c>
      <c r="Q131" s="1">
        <v>1328.84</v>
      </c>
      <c r="R131" s="1">
        <v>44</v>
      </c>
      <c r="S131" s="1">
        <v>75.099999999999994</v>
      </c>
    </row>
    <row r="132" spans="1:19" ht="15">
      <c r="A132" s="1">
        <v>8</v>
      </c>
      <c r="B132" s="1" t="s">
        <v>31</v>
      </c>
      <c r="C132" s="1" t="s">
        <v>27</v>
      </c>
      <c r="D132" s="1">
        <v>2022</v>
      </c>
      <c r="E132" s="1" t="s">
        <v>22</v>
      </c>
      <c r="F132" s="1">
        <v>17640441</v>
      </c>
      <c r="G132" s="1">
        <v>8626225</v>
      </c>
      <c r="H132" s="1">
        <v>9014216</v>
      </c>
      <c r="I132" s="1">
        <v>1635138</v>
      </c>
      <c r="J132" s="1">
        <v>54962</v>
      </c>
      <c r="K132" s="1">
        <v>9.27</v>
      </c>
      <c r="L132" s="1">
        <v>24.63</v>
      </c>
      <c r="M132" s="1">
        <v>11.45</v>
      </c>
      <c r="N132" s="1">
        <v>10.1</v>
      </c>
      <c r="O132" s="1">
        <v>32.47</v>
      </c>
      <c r="P132" s="1">
        <v>18.670000000000002</v>
      </c>
      <c r="Q132" s="1">
        <v>9724.26</v>
      </c>
      <c r="R132" s="1">
        <v>46</v>
      </c>
      <c r="S132" s="1">
        <v>65.099999999999994</v>
      </c>
    </row>
    <row r="133" spans="1:19" ht="15">
      <c r="A133" s="1">
        <v>8</v>
      </c>
      <c r="B133" s="1" t="s">
        <v>31</v>
      </c>
      <c r="C133" s="1" t="s">
        <v>27</v>
      </c>
      <c r="D133" s="1">
        <v>2022</v>
      </c>
      <c r="E133" s="1" t="s">
        <v>23</v>
      </c>
      <c r="F133" s="1">
        <v>156022248</v>
      </c>
      <c r="G133" s="1">
        <v>76390247</v>
      </c>
      <c r="H133" s="1">
        <v>79632001</v>
      </c>
      <c r="I133" s="1">
        <v>13757932</v>
      </c>
      <c r="J133" s="1">
        <v>585497</v>
      </c>
      <c r="K133" s="1">
        <v>8.82</v>
      </c>
      <c r="L133" s="1">
        <v>15.24</v>
      </c>
      <c r="M133" s="1">
        <v>10.3</v>
      </c>
      <c r="N133" s="1">
        <v>14</v>
      </c>
      <c r="O133" s="1">
        <v>20.67</v>
      </c>
      <c r="P133" s="1">
        <v>22.86</v>
      </c>
      <c r="Q133" s="1">
        <v>7940.58</v>
      </c>
      <c r="R133" s="1">
        <v>61</v>
      </c>
      <c r="S133" s="1">
        <v>67.599999999999994</v>
      </c>
    </row>
    <row r="134" spans="1:19" ht="15">
      <c r="A134" s="1">
        <v>8</v>
      </c>
      <c r="B134" s="1" t="s">
        <v>31</v>
      </c>
      <c r="C134" s="1" t="s">
        <v>27</v>
      </c>
      <c r="D134" s="1">
        <v>2023</v>
      </c>
      <c r="E134" s="1" t="s">
        <v>21</v>
      </c>
      <c r="F134" s="1">
        <v>1970296</v>
      </c>
      <c r="G134" s="1">
        <v>974474</v>
      </c>
      <c r="H134" s="1">
        <v>995822</v>
      </c>
      <c r="I134" s="1">
        <v>185203</v>
      </c>
      <c r="J134" s="1">
        <v>7028</v>
      </c>
      <c r="K134" s="1">
        <v>9.4</v>
      </c>
      <c r="L134" s="1">
        <v>10.37</v>
      </c>
      <c r="M134" s="1">
        <v>12.49</v>
      </c>
      <c r="N134" s="1">
        <v>10.24</v>
      </c>
      <c r="O134" s="1">
        <v>31.85</v>
      </c>
      <c r="P134" s="1">
        <v>35.85</v>
      </c>
      <c r="Q134" s="1">
        <v>11478.45</v>
      </c>
      <c r="R134" s="1">
        <v>66</v>
      </c>
      <c r="S134" s="1">
        <v>69.2</v>
      </c>
    </row>
    <row r="135" spans="1:19" ht="15">
      <c r="A135" s="1">
        <v>8</v>
      </c>
      <c r="B135" s="1" t="s">
        <v>31</v>
      </c>
      <c r="C135" s="1" t="s">
        <v>27</v>
      </c>
      <c r="D135" s="1">
        <v>2023</v>
      </c>
      <c r="E135" s="1" t="s">
        <v>22</v>
      </c>
      <c r="F135" s="1">
        <v>34880256</v>
      </c>
      <c r="G135" s="1">
        <v>17307819</v>
      </c>
      <c r="H135" s="1">
        <v>17572437</v>
      </c>
      <c r="I135" s="1">
        <v>2390443</v>
      </c>
      <c r="J135" s="1">
        <v>87573</v>
      </c>
      <c r="K135" s="1">
        <v>6.85</v>
      </c>
      <c r="L135" s="1">
        <v>27.37</v>
      </c>
      <c r="M135" s="1">
        <v>18.399999999999999</v>
      </c>
      <c r="N135" s="1">
        <v>11.47</v>
      </c>
      <c r="O135" s="1">
        <v>30.34</v>
      </c>
      <c r="P135" s="1">
        <v>39.92</v>
      </c>
      <c r="Q135" s="1">
        <v>3439.79</v>
      </c>
      <c r="R135" s="1">
        <v>77</v>
      </c>
      <c r="S135" s="1">
        <v>72.7</v>
      </c>
    </row>
    <row r="136" spans="1:19" ht="15">
      <c r="A136" s="1">
        <v>8</v>
      </c>
      <c r="B136" s="1" t="s">
        <v>31</v>
      </c>
      <c r="C136" s="1" t="s">
        <v>27</v>
      </c>
      <c r="D136" s="1">
        <v>2023</v>
      </c>
      <c r="E136" s="1" t="s">
        <v>23</v>
      </c>
      <c r="F136" s="1">
        <v>41480692</v>
      </c>
      <c r="G136" s="1">
        <v>20227779</v>
      </c>
      <c r="H136" s="1">
        <v>21252913</v>
      </c>
      <c r="I136" s="1">
        <v>3781325</v>
      </c>
      <c r="J136" s="1">
        <v>218970</v>
      </c>
      <c r="K136" s="1">
        <v>9.1199999999999992</v>
      </c>
      <c r="L136" s="1">
        <v>12.07</v>
      </c>
      <c r="M136" s="1">
        <v>34.200000000000003</v>
      </c>
      <c r="N136" s="1">
        <v>9.1199999999999992</v>
      </c>
      <c r="O136" s="1">
        <v>29.51</v>
      </c>
      <c r="P136" s="1">
        <v>34.61</v>
      </c>
      <c r="Q136" s="1">
        <v>11593.33</v>
      </c>
      <c r="R136" s="1">
        <v>75</v>
      </c>
      <c r="S136" s="1">
        <v>65.599999999999994</v>
      </c>
    </row>
    <row r="137" spans="1:19" ht="15">
      <c r="A137" s="1">
        <v>8</v>
      </c>
      <c r="B137" s="1" t="s">
        <v>31</v>
      </c>
      <c r="C137" s="1" t="s">
        <v>27</v>
      </c>
      <c r="D137" s="1">
        <v>2024</v>
      </c>
      <c r="E137" s="1" t="s">
        <v>21</v>
      </c>
      <c r="F137" s="1">
        <v>38465232</v>
      </c>
      <c r="G137" s="1">
        <v>19609161</v>
      </c>
      <c r="H137" s="1">
        <v>18856071</v>
      </c>
      <c r="I137" s="1">
        <v>3225381</v>
      </c>
      <c r="J137" s="1">
        <v>168771</v>
      </c>
      <c r="K137" s="1">
        <v>8.39</v>
      </c>
      <c r="L137" s="1">
        <v>22.95</v>
      </c>
      <c r="M137" s="1">
        <v>33.6</v>
      </c>
      <c r="N137" s="1">
        <v>13.42</v>
      </c>
      <c r="O137" s="1">
        <v>31.36</v>
      </c>
      <c r="P137" s="1">
        <v>37.72</v>
      </c>
      <c r="Q137" s="1">
        <v>10998.48</v>
      </c>
      <c r="R137" s="1">
        <v>46</v>
      </c>
      <c r="S137" s="1">
        <v>77.7</v>
      </c>
    </row>
    <row r="138" spans="1:19" ht="15">
      <c r="A138" s="1">
        <v>8</v>
      </c>
      <c r="B138" s="1" t="s">
        <v>31</v>
      </c>
      <c r="C138" s="1" t="s">
        <v>27</v>
      </c>
      <c r="D138" s="1">
        <v>2024</v>
      </c>
      <c r="E138" s="1" t="s">
        <v>22</v>
      </c>
      <c r="F138" s="1">
        <v>151264045</v>
      </c>
      <c r="G138" s="1">
        <v>76005396</v>
      </c>
      <c r="H138" s="1">
        <v>75258649</v>
      </c>
      <c r="I138" s="1">
        <v>12156084</v>
      </c>
      <c r="J138" s="1">
        <v>899145</v>
      </c>
      <c r="K138" s="1">
        <v>8.0399999999999991</v>
      </c>
      <c r="L138" s="1">
        <v>20.32</v>
      </c>
      <c r="M138" s="1">
        <v>25.31</v>
      </c>
      <c r="N138" s="1">
        <v>12.15</v>
      </c>
      <c r="O138" s="1">
        <v>21.68</v>
      </c>
      <c r="P138" s="1">
        <v>16.41</v>
      </c>
      <c r="Q138" s="1">
        <v>849.58</v>
      </c>
      <c r="R138" s="1">
        <v>45</v>
      </c>
      <c r="S138" s="1">
        <v>62.5</v>
      </c>
    </row>
    <row r="139" spans="1:19" ht="15">
      <c r="A139" s="1">
        <v>8</v>
      </c>
      <c r="B139" s="1" t="s">
        <v>31</v>
      </c>
      <c r="C139" s="1" t="s">
        <v>27</v>
      </c>
      <c r="D139" s="1">
        <v>2024</v>
      </c>
      <c r="E139" s="1" t="s">
        <v>23</v>
      </c>
      <c r="F139" s="1">
        <v>174269064</v>
      </c>
      <c r="G139" s="1">
        <v>83986443</v>
      </c>
      <c r="H139" s="1">
        <v>90282621</v>
      </c>
      <c r="I139" s="1">
        <v>13910560</v>
      </c>
      <c r="J139" s="1">
        <v>815359</v>
      </c>
      <c r="K139" s="1">
        <v>7.98</v>
      </c>
      <c r="L139" s="1">
        <v>19.11</v>
      </c>
      <c r="M139" s="1">
        <v>10.220000000000001</v>
      </c>
      <c r="N139" s="1">
        <v>10.19</v>
      </c>
      <c r="O139" s="1">
        <v>22.53</v>
      </c>
      <c r="P139" s="1">
        <v>15.13</v>
      </c>
      <c r="Q139" s="1">
        <v>9656.61</v>
      </c>
      <c r="R139" s="1">
        <v>51</v>
      </c>
      <c r="S139" s="1">
        <v>80.900000000000006</v>
      </c>
    </row>
    <row r="140" spans="1:19" ht="15">
      <c r="A140" s="1">
        <v>8</v>
      </c>
      <c r="B140" s="1" t="s">
        <v>31</v>
      </c>
      <c r="C140" s="1" t="s">
        <v>27</v>
      </c>
      <c r="D140" s="1">
        <v>2025</v>
      </c>
      <c r="E140" s="1" t="s">
        <v>21</v>
      </c>
      <c r="F140" s="1">
        <v>44978531</v>
      </c>
      <c r="G140" s="1">
        <v>22775325</v>
      </c>
      <c r="H140" s="1">
        <v>22203206</v>
      </c>
      <c r="I140" s="1">
        <v>2368764</v>
      </c>
      <c r="J140" s="1">
        <v>140016</v>
      </c>
      <c r="K140" s="1">
        <v>5.27</v>
      </c>
      <c r="L140" s="1">
        <v>22.48</v>
      </c>
      <c r="M140" s="1">
        <v>24.67</v>
      </c>
      <c r="N140" s="1">
        <v>14.9</v>
      </c>
      <c r="O140" s="1">
        <v>32.270000000000003</v>
      </c>
      <c r="P140" s="1">
        <v>19.149999999999999</v>
      </c>
      <c r="Q140" s="1">
        <v>11227.33</v>
      </c>
      <c r="R140" s="1">
        <v>43</v>
      </c>
      <c r="S140" s="1">
        <v>66.900000000000006</v>
      </c>
    </row>
    <row r="141" spans="1:19" ht="15">
      <c r="A141" s="1">
        <v>8</v>
      </c>
      <c r="B141" s="1" t="s">
        <v>31</v>
      </c>
      <c r="C141" s="1" t="s">
        <v>27</v>
      </c>
      <c r="D141" s="1">
        <v>2025</v>
      </c>
      <c r="E141" s="1" t="s">
        <v>22</v>
      </c>
      <c r="F141" s="1">
        <v>157636338</v>
      </c>
      <c r="G141" s="1">
        <v>78392627</v>
      </c>
      <c r="H141" s="1">
        <v>79243711</v>
      </c>
      <c r="I141" s="1">
        <v>14240384</v>
      </c>
      <c r="J141" s="1">
        <v>487023</v>
      </c>
      <c r="K141" s="1">
        <v>9.0299999999999994</v>
      </c>
      <c r="L141" s="1">
        <v>17.350000000000001</v>
      </c>
      <c r="M141" s="1">
        <v>21.07</v>
      </c>
      <c r="N141" s="1">
        <v>10.97</v>
      </c>
      <c r="O141" s="1">
        <v>38.159999999999997</v>
      </c>
      <c r="P141" s="1">
        <v>22.54</v>
      </c>
      <c r="Q141" s="1">
        <v>4473.67</v>
      </c>
      <c r="R141" s="1">
        <v>64</v>
      </c>
      <c r="S141" s="1">
        <v>75.5</v>
      </c>
    </row>
    <row r="142" spans="1:19" ht="15">
      <c r="A142" s="1">
        <v>8</v>
      </c>
      <c r="B142" s="1" t="s">
        <v>31</v>
      </c>
      <c r="C142" s="1" t="s">
        <v>27</v>
      </c>
      <c r="D142" s="1">
        <v>2025</v>
      </c>
      <c r="E142" s="1" t="s">
        <v>23</v>
      </c>
      <c r="F142" s="1">
        <v>8137796</v>
      </c>
      <c r="G142" s="1">
        <v>4072114</v>
      </c>
      <c r="H142" s="1">
        <v>4065682</v>
      </c>
      <c r="I142" s="1">
        <v>536981</v>
      </c>
      <c r="J142" s="1">
        <v>32856</v>
      </c>
      <c r="K142" s="1">
        <v>6.6</v>
      </c>
      <c r="L142" s="1">
        <v>21.61</v>
      </c>
      <c r="M142" s="1">
        <v>27.15</v>
      </c>
      <c r="N142" s="1">
        <v>9.3000000000000007</v>
      </c>
      <c r="O142" s="1">
        <v>24.67</v>
      </c>
      <c r="P142" s="1">
        <v>15.37</v>
      </c>
      <c r="Q142" s="1">
        <v>7418.38</v>
      </c>
      <c r="R142" s="1">
        <v>49</v>
      </c>
      <c r="S142" s="1">
        <v>65.2</v>
      </c>
    </row>
    <row r="143" spans="1:19" ht="15">
      <c r="A143" s="1">
        <v>8</v>
      </c>
      <c r="B143" s="1" t="s">
        <v>31</v>
      </c>
      <c r="C143" s="1" t="s">
        <v>27</v>
      </c>
      <c r="D143" s="1">
        <v>2026</v>
      </c>
      <c r="E143" s="1" t="s">
        <v>21</v>
      </c>
      <c r="F143" s="1">
        <v>15827184</v>
      </c>
      <c r="G143" s="1">
        <v>7834474</v>
      </c>
      <c r="H143" s="1">
        <v>7992710</v>
      </c>
      <c r="I143" s="1">
        <v>1008295</v>
      </c>
      <c r="J143" s="1">
        <v>64668</v>
      </c>
      <c r="K143" s="1">
        <v>6.37</v>
      </c>
      <c r="L143" s="1">
        <v>15.96</v>
      </c>
      <c r="M143" s="1">
        <v>19.190000000000001</v>
      </c>
      <c r="N143" s="1">
        <v>12.24</v>
      </c>
      <c r="O143" s="1">
        <v>33.479999999999997</v>
      </c>
      <c r="P143" s="1">
        <v>19.02</v>
      </c>
      <c r="Q143" s="1">
        <v>7248.33</v>
      </c>
      <c r="R143" s="1">
        <v>40</v>
      </c>
      <c r="S143" s="1">
        <v>81.5</v>
      </c>
    </row>
    <row r="144" spans="1:19" ht="15">
      <c r="A144" s="1">
        <v>8</v>
      </c>
      <c r="B144" s="1" t="s">
        <v>31</v>
      </c>
      <c r="C144" s="1" t="s">
        <v>27</v>
      </c>
      <c r="D144" s="1">
        <v>2026</v>
      </c>
      <c r="E144" s="1" t="s">
        <v>22</v>
      </c>
      <c r="F144" s="1">
        <v>87649800</v>
      </c>
      <c r="G144" s="1">
        <v>45049832</v>
      </c>
      <c r="H144" s="1">
        <v>42599968</v>
      </c>
      <c r="I144" s="1">
        <v>5618411</v>
      </c>
      <c r="J144" s="1">
        <v>438120</v>
      </c>
      <c r="K144" s="1">
        <v>6.41</v>
      </c>
      <c r="L144" s="1">
        <v>13.99</v>
      </c>
      <c r="M144" s="1">
        <v>20.05</v>
      </c>
      <c r="N144" s="1">
        <v>6.14</v>
      </c>
      <c r="O144" s="1">
        <v>31.31</v>
      </c>
      <c r="P144" s="1">
        <v>33.07</v>
      </c>
      <c r="Q144" s="1">
        <v>8407.7900000000009</v>
      </c>
      <c r="R144" s="1">
        <v>80</v>
      </c>
      <c r="S144" s="1">
        <v>60.2</v>
      </c>
    </row>
    <row r="145" spans="1:19" ht="15">
      <c r="A145" s="1">
        <v>8</v>
      </c>
      <c r="B145" s="1" t="s">
        <v>31</v>
      </c>
      <c r="C145" s="1" t="s">
        <v>27</v>
      </c>
      <c r="D145" s="1">
        <v>2026</v>
      </c>
      <c r="E145" s="1" t="s">
        <v>23</v>
      </c>
      <c r="F145" s="1">
        <v>182509202</v>
      </c>
      <c r="G145" s="1">
        <v>89867602</v>
      </c>
      <c r="H145" s="1">
        <v>92641600</v>
      </c>
      <c r="I145" s="1">
        <v>15890941</v>
      </c>
      <c r="J145" s="1">
        <v>1212957</v>
      </c>
      <c r="K145" s="1">
        <v>8.7100000000000009</v>
      </c>
      <c r="L145" s="1">
        <v>25.6</v>
      </c>
      <c r="M145" s="1">
        <v>23.08</v>
      </c>
      <c r="N145" s="1">
        <v>10.39</v>
      </c>
      <c r="O145" s="1">
        <v>22.88</v>
      </c>
      <c r="P145" s="1">
        <v>24.55</v>
      </c>
      <c r="Q145" s="1">
        <v>9958.77</v>
      </c>
      <c r="R145" s="1">
        <v>84</v>
      </c>
      <c r="S145" s="1">
        <v>75.7</v>
      </c>
    </row>
    <row r="146" spans="1:19" ht="15">
      <c r="A146" s="1">
        <v>9</v>
      </c>
      <c r="B146" s="1" t="s">
        <v>32</v>
      </c>
      <c r="C146" s="1" t="s">
        <v>33</v>
      </c>
      <c r="D146" s="1">
        <v>2021</v>
      </c>
      <c r="E146" s="1" t="s">
        <v>21</v>
      </c>
      <c r="F146" s="1">
        <v>55912793</v>
      </c>
      <c r="G146" s="1">
        <v>28362167</v>
      </c>
      <c r="H146" s="1">
        <v>27550626</v>
      </c>
      <c r="I146" s="1">
        <v>3772832</v>
      </c>
      <c r="J146" s="1">
        <v>298092</v>
      </c>
      <c r="K146" s="1">
        <v>6.75</v>
      </c>
      <c r="L146" s="1">
        <v>16.73</v>
      </c>
      <c r="M146" s="1">
        <v>14.68</v>
      </c>
      <c r="N146" s="1">
        <v>11.69</v>
      </c>
      <c r="O146" s="1">
        <v>23.38</v>
      </c>
      <c r="P146" s="1">
        <v>39.380000000000003</v>
      </c>
      <c r="Q146" s="1">
        <v>7118.5</v>
      </c>
      <c r="R146" s="1">
        <v>69</v>
      </c>
      <c r="S146" s="1">
        <v>62.8</v>
      </c>
    </row>
    <row r="147" spans="1:19" ht="15">
      <c r="A147" s="1">
        <v>9</v>
      </c>
      <c r="B147" s="1" t="s">
        <v>32</v>
      </c>
      <c r="C147" s="1" t="s">
        <v>33</v>
      </c>
      <c r="D147" s="1">
        <v>2021</v>
      </c>
      <c r="E147" s="1" t="s">
        <v>22</v>
      </c>
      <c r="F147" s="1">
        <v>116142188</v>
      </c>
      <c r="G147" s="1">
        <v>58541266</v>
      </c>
      <c r="H147" s="1">
        <v>57600922</v>
      </c>
      <c r="I147" s="1">
        <v>6051876</v>
      </c>
      <c r="J147" s="1">
        <v>197425</v>
      </c>
      <c r="K147" s="1">
        <v>5.21</v>
      </c>
      <c r="L147" s="1">
        <v>18.25</v>
      </c>
      <c r="M147" s="1">
        <v>21.21</v>
      </c>
      <c r="N147" s="1">
        <v>13.29</v>
      </c>
      <c r="O147" s="1">
        <v>22.59</v>
      </c>
      <c r="P147" s="1">
        <v>36.71</v>
      </c>
      <c r="Q147" s="1">
        <v>5157.5200000000004</v>
      </c>
      <c r="R147" s="1">
        <v>41</v>
      </c>
      <c r="S147" s="1">
        <v>79.599999999999994</v>
      </c>
    </row>
    <row r="148" spans="1:19" ht="15">
      <c r="A148" s="1">
        <v>9</v>
      </c>
      <c r="B148" s="1" t="s">
        <v>32</v>
      </c>
      <c r="C148" s="1" t="s">
        <v>33</v>
      </c>
      <c r="D148" s="1">
        <v>2021</v>
      </c>
      <c r="E148" s="1" t="s">
        <v>23</v>
      </c>
      <c r="F148" s="1">
        <v>64046321</v>
      </c>
      <c r="G148" s="1">
        <v>30865381</v>
      </c>
      <c r="H148" s="1">
        <v>33180940</v>
      </c>
      <c r="I148" s="1">
        <v>4597968</v>
      </c>
      <c r="J148" s="1">
        <v>187517</v>
      </c>
      <c r="K148" s="1">
        <v>7.18</v>
      </c>
      <c r="L148" s="1">
        <v>19.57</v>
      </c>
      <c r="M148" s="1">
        <v>30.5</v>
      </c>
      <c r="N148" s="1">
        <v>13.85</v>
      </c>
      <c r="O148" s="1">
        <v>21.74</v>
      </c>
      <c r="P148" s="1">
        <v>21.43</v>
      </c>
      <c r="Q148" s="1">
        <v>4005.9</v>
      </c>
      <c r="R148" s="1">
        <v>46</v>
      </c>
      <c r="S148" s="1">
        <v>64</v>
      </c>
    </row>
    <row r="149" spans="1:19" ht="15">
      <c r="A149" s="1">
        <v>9</v>
      </c>
      <c r="B149" s="1" t="s">
        <v>32</v>
      </c>
      <c r="C149" s="1" t="s">
        <v>33</v>
      </c>
      <c r="D149" s="1">
        <v>2022</v>
      </c>
      <c r="E149" s="1" t="s">
        <v>21</v>
      </c>
      <c r="F149" s="1">
        <v>147039472</v>
      </c>
      <c r="G149" s="1">
        <v>70894117</v>
      </c>
      <c r="H149" s="1">
        <v>76145355</v>
      </c>
      <c r="I149" s="1">
        <v>8802362</v>
      </c>
      <c r="J149" s="1">
        <v>292735</v>
      </c>
      <c r="K149" s="1">
        <v>5.99</v>
      </c>
      <c r="L149" s="1">
        <v>19.14</v>
      </c>
      <c r="M149" s="1">
        <v>33.5</v>
      </c>
      <c r="N149" s="1">
        <v>6.53</v>
      </c>
      <c r="O149" s="1">
        <v>37.74</v>
      </c>
      <c r="P149" s="1">
        <v>22.89</v>
      </c>
      <c r="Q149" s="1">
        <v>9092</v>
      </c>
      <c r="R149" s="1">
        <v>61</v>
      </c>
      <c r="S149" s="1">
        <v>79.400000000000006</v>
      </c>
    </row>
    <row r="150" spans="1:19" ht="15">
      <c r="A150" s="1">
        <v>9</v>
      </c>
      <c r="B150" s="1" t="s">
        <v>32</v>
      </c>
      <c r="C150" s="1" t="s">
        <v>33</v>
      </c>
      <c r="D150" s="1">
        <v>2022</v>
      </c>
      <c r="E150" s="1" t="s">
        <v>22</v>
      </c>
      <c r="F150" s="1">
        <v>36292946</v>
      </c>
      <c r="G150" s="1">
        <v>18464770</v>
      </c>
      <c r="H150" s="1">
        <v>17828176</v>
      </c>
      <c r="I150" s="1">
        <v>2961724</v>
      </c>
      <c r="J150" s="1">
        <v>226658</v>
      </c>
      <c r="K150" s="1">
        <v>8.16</v>
      </c>
      <c r="L150" s="1">
        <v>25.57</v>
      </c>
      <c r="M150" s="1">
        <v>20.51</v>
      </c>
      <c r="N150" s="1">
        <v>7.91</v>
      </c>
      <c r="O150" s="1">
        <v>23.14</v>
      </c>
      <c r="P150" s="1">
        <v>27.8</v>
      </c>
      <c r="Q150" s="1">
        <v>3135.07</v>
      </c>
      <c r="R150" s="1">
        <v>67</v>
      </c>
      <c r="S150" s="1">
        <v>65.400000000000006</v>
      </c>
    </row>
    <row r="151" spans="1:19" ht="15">
      <c r="A151" s="1">
        <v>9</v>
      </c>
      <c r="B151" s="1" t="s">
        <v>32</v>
      </c>
      <c r="C151" s="1" t="s">
        <v>33</v>
      </c>
      <c r="D151" s="1">
        <v>2022</v>
      </c>
      <c r="E151" s="1" t="s">
        <v>23</v>
      </c>
      <c r="F151" s="1">
        <v>37599776</v>
      </c>
      <c r="G151" s="1">
        <v>19100304</v>
      </c>
      <c r="H151" s="1">
        <v>18499472</v>
      </c>
      <c r="I151" s="1">
        <v>2894176</v>
      </c>
      <c r="J151" s="1">
        <v>208833</v>
      </c>
      <c r="K151" s="1">
        <v>7.7</v>
      </c>
      <c r="L151" s="1">
        <v>20.51</v>
      </c>
      <c r="M151" s="1">
        <v>19.86</v>
      </c>
      <c r="N151" s="1">
        <v>11.86</v>
      </c>
      <c r="O151" s="1">
        <v>32.18</v>
      </c>
      <c r="P151" s="1">
        <v>20.21</v>
      </c>
      <c r="Q151" s="1">
        <v>4163.68</v>
      </c>
      <c r="R151" s="1">
        <v>79</v>
      </c>
      <c r="S151" s="1">
        <v>72.900000000000006</v>
      </c>
    </row>
    <row r="152" spans="1:19" ht="15">
      <c r="A152" s="1">
        <v>9</v>
      </c>
      <c r="B152" s="1" t="s">
        <v>32</v>
      </c>
      <c r="C152" s="1" t="s">
        <v>33</v>
      </c>
      <c r="D152" s="1">
        <v>2023</v>
      </c>
      <c r="E152" s="1" t="s">
        <v>21</v>
      </c>
      <c r="F152" s="1">
        <v>59433378</v>
      </c>
      <c r="G152" s="1">
        <v>30707759</v>
      </c>
      <c r="H152" s="1">
        <v>28725619</v>
      </c>
      <c r="I152" s="1">
        <v>3103322</v>
      </c>
      <c r="J152" s="1">
        <v>229081</v>
      </c>
      <c r="K152" s="1">
        <v>5.22</v>
      </c>
      <c r="L152" s="1">
        <v>29.6</v>
      </c>
      <c r="M152" s="1">
        <v>25.38</v>
      </c>
      <c r="N152" s="1">
        <v>7.12</v>
      </c>
      <c r="O152" s="1">
        <v>36.200000000000003</v>
      </c>
      <c r="P152" s="1">
        <v>26.03</v>
      </c>
      <c r="Q152" s="1">
        <v>8693.16</v>
      </c>
      <c r="R152" s="1">
        <v>49</v>
      </c>
      <c r="S152" s="1">
        <v>67.400000000000006</v>
      </c>
    </row>
    <row r="153" spans="1:19" ht="15">
      <c r="A153" s="1">
        <v>9</v>
      </c>
      <c r="B153" s="1" t="s">
        <v>32</v>
      </c>
      <c r="C153" s="1" t="s">
        <v>33</v>
      </c>
      <c r="D153" s="1">
        <v>2023</v>
      </c>
      <c r="E153" s="1" t="s">
        <v>22</v>
      </c>
      <c r="F153" s="1">
        <v>172890116</v>
      </c>
      <c r="G153" s="1">
        <v>89586389</v>
      </c>
      <c r="H153" s="1">
        <v>83303727</v>
      </c>
      <c r="I153" s="1">
        <v>9299302</v>
      </c>
      <c r="J153" s="1">
        <v>305988</v>
      </c>
      <c r="K153" s="1">
        <v>5.38</v>
      </c>
      <c r="L153" s="1">
        <v>25.66</v>
      </c>
      <c r="M153" s="1">
        <v>29.39</v>
      </c>
      <c r="N153" s="1">
        <v>8.11</v>
      </c>
      <c r="O153" s="1">
        <v>27.48</v>
      </c>
      <c r="P153" s="1">
        <v>32.200000000000003</v>
      </c>
      <c r="Q153" s="1">
        <v>7397.64</v>
      </c>
      <c r="R153" s="1">
        <v>49</v>
      </c>
      <c r="S153" s="1">
        <v>74.900000000000006</v>
      </c>
    </row>
    <row r="154" spans="1:19" ht="15">
      <c r="A154" s="1">
        <v>9</v>
      </c>
      <c r="B154" s="1" t="s">
        <v>32</v>
      </c>
      <c r="C154" s="1" t="s">
        <v>33</v>
      </c>
      <c r="D154" s="1">
        <v>2023</v>
      </c>
      <c r="E154" s="1" t="s">
        <v>23</v>
      </c>
      <c r="F154" s="1">
        <v>87631168</v>
      </c>
      <c r="G154" s="1">
        <v>45498955</v>
      </c>
      <c r="H154" s="1">
        <v>42132213</v>
      </c>
      <c r="I154" s="1">
        <v>5029976</v>
      </c>
      <c r="J154" s="1">
        <v>309780</v>
      </c>
      <c r="K154" s="1">
        <v>5.74</v>
      </c>
      <c r="L154" s="1">
        <v>14.12</v>
      </c>
      <c r="M154" s="1">
        <v>18.37</v>
      </c>
      <c r="N154" s="1">
        <v>7.98</v>
      </c>
      <c r="O154" s="1">
        <v>36.5</v>
      </c>
      <c r="P154" s="1">
        <v>29.5</v>
      </c>
      <c r="Q154" s="1">
        <v>4304.12</v>
      </c>
      <c r="R154" s="1">
        <v>69</v>
      </c>
      <c r="S154" s="1">
        <v>70.599999999999994</v>
      </c>
    </row>
    <row r="155" spans="1:19" ht="15">
      <c r="A155" s="1">
        <v>9</v>
      </c>
      <c r="B155" s="1" t="s">
        <v>32</v>
      </c>
      <c r="C155" s="1" t="s">
        <v>33</v>
      </c>
      <c r="D155" s="1">
        <v>2024</v>
      </c>
      <c r="E155" s="1" t="s">
        <v>21</v>
      </c>
      <c r="F155" s="1">
        <v>107581075</v>
      </c>
      <c r="G155" s="1">
        <v>53980473</v>
      </c>
      <c r="H155" s="1">
        <v>53600602</v>
      </c>
      <c r="I155" s="1">
        <v>6656801</v>
      </c>
      <c r="J155" s="1">
        <v>324207</v>
      </c>
      <c r="K155" s="1">
        <v>6.19</v>
      </c>
      <c r="L155" s="1">
        <v>19.170000000000002</v>
      </c>
      <c r="M155" s="1">
        <v>12.08</v>
      </c>
      <c r="N155" s="1">
        <v>5.14</v>
      </c>
      <c r="O155" s="1">
        <v>31.87</v>
      </c>
      <c r="P155" s="1">
        <v>20.18</v>
      </c>
      <c r="Q155" s="1">
        <v>9725.09</v>
      </c>
      <c r="R155" s="1">
        <v>50</v>
      </c>
      <c r="S155" s="1">
        <v>65.099999999999994</v>
      </c>
    </row>
    <row r="156" spans="1:19" ht="15">
      <c r="A156" s="1">
        <v>9</v>
      </c>
      <c r="B156" s="1" t="s">
        <v>32</v>
      </c>
      <c r="C156" s="1" t="s">
        <v>33</v>
      </c>
      <c r="D156" s="1">
        <v>2024</v>
      </c>
      <c r="E156" s="1" t="s">
        <v>22</v>
      </c>
      <c r="F156" s="1">
        <v>5986752</v>
      </c>
      <c r="G156" s="1">
        <v>3024475</v>
      </c>
      <c r="H156" s="1">
        <v>2962277</v>
      </c>
      <c r="I156" s="1">
        <v>338849</v>
      </c>
      <c r="J156" s="1">
        <v>17293</v>
      </c>
      <c r="K156" s="1">
        <v>5.66</v>
      </c>
      <c r="L156" s="1">
        <v>15.97</v>
      </c>
      <c r="M156" s="1">
        <v>16.71</v>
      </c>
      <c r="N156" s="1">
        <v>7.35</v>
      </c>
      <c r="O156" s="1">
        <v>39.520000000000003</v>
      </c>
      <c r="P156" s="1">
        <v>22.99</v>
      </c>
      <c r="Q156" s="1">
        <v>1855.57</v>
      </c>
      <c r="R156" s="1">
        <v>79</v>
      </c>
      <c r="S156" s="1">
        <v>63.6</v>
      </c>
    </row>
    <row r="157" spans="1:19" ht="15">
      <c r="A157" s="1">
        <v>9</v>
      </c>
      <c r="B157" s="1" t="s">
        <v>32</v>
      </c>
      <c r="C157" s="1" t="s">
        <v>33</v>
      </c>
      <c r="D157" s="1">
        <v>2024</v>
      </c>
      <c r="E157" s="1" t="s">
        <v>23</v>
      </c>
      <c r="F157" s="1">
        <v>183132122</v>
      </c>
      <c r="G157" s="1">
        <v>93299944</v>
      </c>
      <c r="H157" s="1">
        <v>89832178</v>
      </c>
      <c r="I157" s="1">
        <v>15189195</v>
      </c>
      <c r="J157" s="1">
        <v>1000706</v>
      </c>
      <c r="K157" s="1">
        <v>8.2899999999999991</v>
      </c>
      <c r="L157" s="1">
        <v>25.47</v>
      </c>
      <c r="M157" s="1">
        <v>14.51</v>
      </c>
      <c r="N157" s="1">
        <v>5.37</v>
      </c>
      <c r="O157" s="1">
        <v>28.61</v>
      </c>
      <c r="P157" s="1">
        <v>26.12</v>
      </c>
      <c r="Q157" s="1">
        <v>3221.1</v>
      </c>
      <c r="R157" s="1">
        <v>46</v>
      </c>
      <c r="S157" s="1">
        <v>62.5</v>
      </c>
    </row>
    <row r="158" spans="1:19" ht="15">
      <c r="A158" s="1">
        <v>9</v>
      </c>
      <c r="B158" s="1" t="s">
        <v>32</v>
      </c>
      <c r="C158" s="1" t="s">
        <v>33</v>
      </c>
      <c r="D158" s="1">
        <v>2025</v>
      </c>
      <c r="E158" s="1" t="s">
        <v>21</v>
      </c>
      <c r="F158" s="1">
        <v>162192676</v>
      </c>
      <c r="G158" s="1">
        <v>81080183</v>
      </c>
      <c r="H158" s="1">
        <v>81112493</v>
      </c>
      <c r="I158" s="1">
        <v>12395292</v>
      </c>
      <c r="J158" s="1">
        <v>377660</v>
      </c>
      <c r="K158" s="1">
        <v>7.64</v>
      </c>
      <c r="L158" s="1">
        <v>26.22</v>
      </c>
      <c r="M158" s="1">
        <v>18.95</v>
      </c>
      <c r="N158" s="1">
        <v>9.58</v>
      </c>
      <c r="O158" s="1">
        <v>23.22</v>
      </c>
      <c r="P158" s="1">
        <v>24.98</v>
      </c>
      <c r="Q158" s="1">
        <v>5704.08</v>
      </c>
      <c r="R158" s="1">
        <v>76</v>
      </c>
      <c r="S158" s="1">
        <v>60.8</v>
      </c>
    </row>
    <row r="159" spans="1:19" ht="15">
      <c r="A159" s="1">
        <v>9</v>
      </c>
      <c r="B159" s="1" t="s">
        <v>32</v>
      </c>
      <c r="C159" s="1" t="s">
        <v>33</v>
      </c>
      <c r="D159" s="1">
        <v>2025</v>
      </c>
      <c r="E159" s="1" t="s">
        <v>22</v>
      </c>
      <c r="F159" s="1">
        <v>120859075</v>
      </c>
      <c r="G159" s="1">
        <v>60078742</v>
      </c>
      <c r="H159" s="1">
        <v>60780333</v>
      </c>
      <c r="I159" s="1">
        <v>8998018</v>
      </c>
      <c r="J159" s="1">
        <v>698481</v>
      </c>
      <c r="K159" s="1">
        <v>7.45</v>
      </c>
      <c r="L159" s="1">
        <v>21.91</v>
      </c>
      <c r="M159" s="1">
        <v>27.14</v>
      </c>
      <c r="N159" s="1">
        <v>9.4</v>
      </c>
      <c r="O159" s="1">
        <v>29.88</v>
      </c>
      <c r="P159" s="1">
        <v>39.56</v>
      </c>
      <c r="Q159" s="1">
        <v>5273.45</v>
      </c>
      <c r="R159" s="1">
        <v>41</v>
      </c>
      <c r="S159" s="1">
        <v>74</v>
      </c>
    </row>
    <row r="160" spans="1:19" ht="15">
      <c r="A160" s="1">
        <v>9</v>
      </c>
      <c r="B160" s="1" t="s">
        <v>32</v>
      </c>
      <c r="C160" s="1" t="s">
        <v>33</v>
      </c>
      <c r="D160" s="1">
        <v>2025</v>
      </c>
      <c r="E160" s="1" t="s">
        <v>23</v>
      </c>
      <c r="F160" s="1">
        <v>198754993</v>
      </c>
      <c r="G160" s="1">
        <v>102687700</v>
      </c>
      <c r="H160" s="1">
        <v>96067293</v>
      </c>
      <c r="I160" s="1">
        <v>15670283</v>
      </c>
      <c r="J160" s="1">
        <v>1113924</v>
      </c>
      <c r="K160" s="1">
        <v>7.88</v>
      </c>
      <c r="L160" s="1">
        <v>26.44</v>
      </c>
      <c r="M160" s="1">
        <v>19.64</v>
      </c>
      <c r="N160" s="1">
        <v>8.2899999999999991</v>
      </c>
      <c r="O160" s="1">
        <v>38.79</v>
      </c>
      <c r="P160" s="1">
        <v>23.23</v>
      </c>
      <c r="Q160" s="1">
        <v>9509.64</v>
      </c>
      <c r="R160" s="1">
        <v>80</v>
      </c>
      <c r="S160" s="1">
        <v>71.2</v>
      </c>
    </row>
    <row r="161" spans="1:19" ht="15">
      <c r="A161" s="1">
        <v>9</v>
      </c>
      <c r="B161" s="1" t="s">
        <v>32</v>
      </c>
      <c r="C161" s="1" t="s">
        <v>33</v>
      </c>
      <c r="D161" s="1">
        <v>2026</v>
      </c>
      <c r="E161" s="1" t="s">
        <v>21</v>
      </c>
      <c r="F161" s="1">
        <v>36306513</v>
      </c>
      <c r="G161" s="1">
        <v>17975886</v>
      </c>
      <c r="H161" s="1">
        <v>18330627</v>
      </c>
      <c r="I161" s="1">
        <v>2316281</v>
      </c>
      <c r="J161" s="1">
        <v>97061</v>
      </c>
      <c r="K161" s="1">
        <v>6.38</v>
      </c>
      <c r="L161" s="1">
        <v>29.3</v>
      </c>
      <c r="M161" s="1">
        <v>26.72</v>
      </c>
      <c r="N161" s="1">
        <v>9.65</v>
      </c>
      <c r="O161" s="1">
        <v>31.46</v>
      </c>
      <c r="P161" s="1">
        <v>36.14</v>
      </c>
      <c r="Q161" s="1">
        <v>8283.5499999999993</v>
      </c>
      <c r="R161" s="1">
        <v>72</v>
      </c>
      <c r="S161" s="1">
        <v>64.8</v>
      </c>
    </row>
    <row r="162" spans="1:19" ht="15">
      <c r="A162" s="1">
        <v>9</v>
      </c>
      <c r="B162" s="1" t="s">
        <v>32</v>
      </c>
      <c r="C162" s="1" t="s">
        <v>33</v>
      </c>
      <c r="D162" s="1">
        <v>2026</v>
      </c>
      <c r="E162" s="1" t="s">
        <v>22</v>
      </c>
      <c r="F162" s="1">
        <v>26550511</v>
      </c>
      <c r="G162" s="1">
        <v>13690858</v>
      </c>
      <c r="H162" s="1">
        <v>12859653</v>
      </c>
      <c r="I162" s="1">
        <v>2067863</v>
      </c>
      <c r="J162" s="1">
        <v>123086</v>
      </c>
      <c r="K162" s="1">
        <v>7.79</v>
      </c>
      <c r="L162" s="1">
        <v>13.26</v>
      </c>
      <c r="M162" s="1">
        <v>13.43</v>
      </c>
      <c r="N162" s="1">
        <v>7.17</v>
      </c>
      <c r="O162" s="1">
        <v>26.51</v>
      </c>
      <c r="P162" s="1">
        <v>28.97</v>
      </c>
      <c r="Q162" s="1">
        <v>4783.01</v>
      </c>
      <c r="R162" s="1">
        <v>75</v>
      </c>
      <c r="S162" s="1">
        <v>69.900000000000006</v>
      </c>
    </row>
    <row r="163" spans="1:19" ht="15">
      <c r="A163" s="1">
        <v>9</v>
      </c>
      <c r="B163" s="1" t="s">
        <v>32</v>
      </c>
      <c r="C163" s="1" t="s">
        <v>33</v>
      </c>
      <c r="D163" s="1">
        <v>2026</v>
      </c>
      <c r="E163" s="1" t="s">
        <v>23</v>
      </c>
      <c r="F163" s="1">
        <v>135827294</v>
      </c>
      <c r="G163" s="1">
        <v>67991492</v>
      </c>
      <c r="H163" s="1">
        <v>67835802</v>
      </c>
      <c r="I163" s="1">
        <v>13255979</v>
      </c>
      <c r="J163" s="1">
        <v>425670</v>
      </c>
      <c r="K163" s="1">
        <v>9.76</v>
      </c>
      <c r="L163" s="1">
        <v>22.74</v>
      </c>
      <c r="M163" s="1">
        <v>28.41</v>
      </c>
      <c r="N163" s="1">
        <v>6.8</v>
      </c>
      <c r="O163" s="1">
        <v>37.21</v>
      </c>
      <c r="P163" s="1">
        <v>18.07</v>
      </c>
      <c r="Q163" s="1">
        <v>9800.93</v>
      </c>
      <c r="R163" s="1">
        <v>56</v>
      </c>
      <c r="S163" s="1">
        <v>69.8</v>
      </c>
    </row>
    <row r="164" spans="1:19" ht="15">
      <c r="A164" s="1">
        <v>10</v>
      </c>
      <c r="B164" s="1" t="s">
        <v>34</v>
      </c>
      <c r="C164" s="1" t="s">
        <v>33</v>
      </c>
      <c r="D164" s="1">
        <v>2021</v>
      </c>
      <c r="E164" s="1" t="s">
        <v>21</v>
      </c>
      <c r="F164" s="1">
        <v>39349397</v>
      </c>
      <c r="G164" s="1">
        <v>19510278</v>
      </c>
      <c r="H164" s="1">
        <v>19839119</v>
      </c>
      <c r="I164" s="1">
        <v>3093511</v>
      </c>
      <c r="J164" s="1">
        <v>190965</v>
      </c>
      <c r="K164" s="1">
        <v>7.86</v>
      </c>
      <c r="L164" s="1">
        <v>10.81</v>
      </c>
      <c r="M164" s="1">
        <v>30.37</v>
      </c>
      <c r="N164" s="1">
        <v>10.26</v>
      </c>
      <c r="O164" s="1">
        <v>38.369999999999997</v>
      </c>
      <c r="P164" s="1">
        <v>19.22</v>
      </c>
      <c r="Q164" s="1">
        <v>5609.64</v>
      </c>
      <c r="R164" s="1">
        <v>79</v>
      </c>
      <c r="S164" s="1">
        <v>74.599999999999994</v>
      </c>
    </row>
    <row r="165" spans="1:19" ht="15">
      <c r="A165" s="1">
        <v>10</v>
      </c>
      <c r="B165" s="1" t="s">
        <v>34</v>
      </c>
      <c r="C165" s="1" t="s">
        <v>33</v>
      </c>
      <c r="D165" s="1">
        <v>2021</v>
      </c>
      <c r="E165" s="1" t="s">
        <v>22</v>
      </c>
      <c r="F165" s="1">
        <v>191139771</v>
      </c>
      <c r="G165" s="1">
        <v>95624458</v>
      </c>
      <c r="H165" s="1">
        <v>95515313</v>
      </c>
      <c r="I165" s="1">
        <v>14051440</v>
      </c>
      <c r="J165" s="1">
        <v>1064456</v>
      </c>
      <c r="K165" s="1">
        <v>7.35</v>
      </c>
      <c r="L165" s="1">
        <v>10.15</v>
      </c>
      <c r="M165" s="1">
        <v>34.76</v>
      </c>
      <c r="N165" s="1">
        <v>9.7100000000000009</v>
      </c>
      <c r="O165" s="1">
        <v>36.44</v>
      </c>
      <c r="P165" s="1">
        <v>27.08</v>
      </c>
      <c r="Q165" s="1">
        <v>10009.74</v>
      </c>
      <c r="R165" s="1">
        <v>72</v>
      </c>
      <c r="S165" s="1">
        <v>69.8</v>
      </c>
    </row>
    <row r="166" spans="1:19" ht="15">
      <c r="A166" s="1">
        <v>10</v>
      </c>
      <c r="B166" s="1" t="s">
        <v>34</v>
      </c>
      <c r="C166" s="1" t="s">
        <v>33</v>
      </c>
      <c r="D166" s="1">
        <v>2021</v>
      </c>
      <c r="E166" s="1" t="s">
        <v>23</v>
      </c>
      <c r="F166" s="1">
        <v>78997265</v>
      </c>
      <c r="G166" s="1">
        <v>41067118</v>
      </c>
      <c r="H166" s="1">
        <v>37930147</v>
      </c>
      <c r="I166" s="1">
        <v>5976859</v>
      </c>
      <c r="J166" s="1">
        <v>201517</v>
      </c>
      <c r="K166" s="1">
        <v>7.57</v>
      </c>
      <c r="L166" s="1">
        <v>24.95</v>
      </c>
      <c r="M166" s="1">
        <v>26.21</v>
      </c>
      <c r="N166" s="1">
        <v>6.5</v>
      </c>
      <c r="O166" s="1">
        <v>24.19</v>
      </c>
      <c r="P166" s="1">
        <v>27.55</v>
      </c>
      <c r="Q166" s="1">
        <v>2411.37</v>
      </c>
      <c r="R166" s="1">
        <v>74</v>
      </c>
      <c r="S166" s="1">
        <v>81.099999999999994</v>
      </c>
    </row>
    <row r="167" spans="1:19" ht="15">
      <c r="A167" s="1">
        <v>10</v>
      </c>
      <c r="B167" s="1" t="s">
        <v>34</v>
      </c>
      <c r="C167" s="1" t="s">
        <v>33</v>
      </c>
      <c r="D167" s="1">
        <v>2022</v>
      </c>
      <c r="E167" s="1" t="s">
        <v>21</v>
      </c>
      <c r="F167" s="1">
        <v>193020214</v>
      </c>
      <c r="G167" s="1">
        <v>98458821</v>
      </c>
      <c r="H167" s="1">
        <v>94561393</v>
      </c>
      <c r="I167" s="1">
        <v>17796389</v>
      </c>
      <c r="J167" s="1">
        <v>828617</v>
      </c>
      <c r="K167" s="1">
        <v>9.2200000000000006</v>
      </c>
      <c r="L167" s="1">
        <v>12.13</v>
      </c>
      <c r="M167" s="1">
        <v>28.23</v>
      </c>
      <c r="N167" s="1">
        <v>12.94</v>
      </c>
      <c r="O167" s="1">
        <v>33.9</v>
      </c>
      <c r="P167" s="1">
        <v>19.43</v>
      </c>
      <c r="Q167" s="1">
        <v>806.94</v>
      </c>
      <c r="R167" s="1">
        <v>84</v>
      </c>
      <c r="S167" s="1">
        <v>72.8</v>
      </c>
    </row>
    <row r="168" spans="1:19" ht="15">
      <c r="A168" s="1">
        <v>10</v>
      </c>
      <c r="B168" s="1" t="s">
        <v>34</v>
      </c>
      <c r="C168" s="1" t="s">
        <v>33</v>
      </c>
      <c r="D168" s="1">
        <v>2022</v>
      </c>
      <c r="E168" s="1" t="s">
        <v>22</v>
      </c>
      <c r="F168" s="1">
        <v>180144402</v>
      </c>
      <c r="G168" s="1">
        <v>88592806</v>
      </c>
      <c r="H168" s="1">
        <v>91551596</v>
      </c>
      <c r="I168" s="1">
        <v>13298310</v>
      </c>
      <c r="J168" s="1">
        <v>565779</v>
      </c>
      <c r="K168" s="1">
        <v>7.38</v>
      </c>
      <c r="L168" s="1">
        <v>28.66</v>
      </c>
      <c r="M168" s="1">
        <v>18.04</v>
      </c>
      <c r="N168" s="1">
        <v>10.61</v>
      </c>
      <c r="O168" s="1">
        <v>39.46</v>
      </c>
      <c r="P168" s="1">
        <v>31.77</v>
      </c>
      <c r="Q168" s="1">
        <v>4936.29</v>
      </c>
      <c r="R168" s="1">
        <v>46</v>
      </c>
      <c r="S168" s="1">
        <v>77.3</v>
      </c>
    </row>
    <row r="169" spans="1:19" ht="15">
      <c r="A169" s="1">
        <v>10</v>
      </c>
      <c r="B169" s="1" t="s">
        <v>34</v>
      </c>
      <c r="C169" s="1" t="s">
        <v>33</v>
      </c>
      <c r="D169" s="1">
        <v>2022</v>
      </c>
      <c r="E169" s="1" t="s">
        <v>23</v>
      </c>
      <c r="F169" s="1">
        <v>46513857</v>
      </c>
      <c r="G169" s="1">
        <v>22520106</v>
      </c>
      <c r="H169" s="1">
        <v>23993751</v>
      </c>
      <c r="I169" s="1">
        <v>2415881</v>
      </c>
      <c r="J169" s="1">
        <v>153143</v>
      </c>
      <c r="K169" s="1">
        <v>5.19</v>
      </c>
      <c r="L169" s="1">
        <v>23.16</v>
      </c>
      <c r="M169" s="1">
        <v>26.77</v>
      </c>
      <c r="N169" s="1">
        <v>11.73</v>
      </c>
      <c r="O169" s="1">
        <v>31.66</v>
      </c>
      <c r="P169" s="1">
        <v>38.54</v>
      </c>
      <c r="Q169" s="1">
        <v>5788.14</v>
      </c>
      <c r="R169" s="1">
        <v>48</v>
      </c>
      <c r="S169" s="1">
        <v>62.8</v>
      </c>
    </row>
    <row r="170" spans="1:19" ht="15">
      <c r="A170" s="1">
        <v>10</v>
      </c>
      <c r="B170" s="1" t="s">
        <v>34</v>
      </c>
      <c r="C170" s="1" t="s">
        <v>33</v>
      </c>
      <c r="D170" s="1">
        <v>2023</v>
      </c>
      <c r="E170" s="1" t="s">
        <v>21</v>
      </c>
      <c r="F170" s="1">
        <v>156502146</v>
      </c>
      <c r="G170" s="1">
        <v>77677455</v>
      </c>
      <c r="H170" s="1">
        <v>78824691</v>
      </c>
      <c r="I170" s="1">
        <v>12616579</v>
      </c>
      <c r="J170" s="1">
        <v>604167</v>
      </c>
      <c r="K170" s="1">
        <v>8.06</v>
      </c>
      <c r="L170" s="1">
        <v>18.71</v>
      </c>
      <c r="M170" s="1">
        <v>17.34</v>
      </c>
      <c r="N170" s="1">
        <v>12.28</v>
      </c>
      <c r="O170" s="1">
        <v>36.9</v>
      </c>
      <c r="P170" s="1">
        <v>23.47</v>
      </c>
      <c r="Q170" s="1">
        <v>9704.0300000000007</v>
      </c>
      <c r="R170" s="1">
        <v>51</v>
      </c>
      <c r="S170" s="1">
        <v>64.5</v>
      </c>
    </row>
    <row r="171" spans="1:19" ht="15">
      <c r="A171" s="1">
        <v>10</v>
      </c>
      <c r="B171" s="1" t="s">
        <v>34</v>
      </c>
      <c r="C171" s="1" t="s">
        <v>33</v>
      </c>
      <c r="D171" s="1">
        <v>2023</v>
      </c>
      <c r="E171" s="1" t="s">
        <v>22</v>
      </c>
      <c r="F171" s="1">
        <v>147105686</v>
      </c>
      <c r="G171" s="1">
        <v>72706413</v>
      </c>
      <c r="H171" s="1">
        <v>74399273</v>
      </c>
      <c r="I171" s="1">
        <v>12220110</v>
      </c>
      <c r="J171" s="1">
        <v>734557</v>
      </c>
      <c r="K171" s="1">
        <v>8.31</v>
      </c>
      <c r="L171" s="1">
        <v>11.64</v>
      </c>
      <c r="M171" s="1">
        <v>24.65</v>
      </c>
      <c r="N171" s="1">
        <v>5.47</v>
      </c>
      <c r="O171" s="1">
        <v>29.71</v>
      </c>
      <c r="P171" s="1">
        <v>28.43</v>
      </c>
      <c r="Q171" s="1">
        <v>11447.97</v>
      </c>
      <c r="R171" s="1">
        <v>83</v>
      </c>
      <c r="S171" s="1">
        <v>64.2</v>
      </c>
    </row>
    <row r="172" spans="1:19" ht="15">
      <c r="A172" s="1">
        <v>10</v>
      </c>
      <c r="B172" s="1" t="s">
        <v>34</v>
      </c>
      <c r="C172" s="1" t="s">
        <v>33</v>
      </c>
      <c r="D172" s="1">
        <v>2023</v>
      </c>
      <c r="E172" s="1" t="s">
        <v>23</v>
      </c>
      <c r="F172" s="1">
        <v>187023677</v>
      </c>
      <c r="G172" s="1">
        <v>94461857</v>
      </c>
      <c r="H172" s="1">
        <v>92561820</v>
      </c>
      <c r="I172" s="1">
        <v>12249654</v>
      </c>
      <c r="J172" s="1">
        <v>704524</v>
      </c>
      <c r="K172" s="1">
        <v>6.55</v>
      </c>
      <c r="L172" s="1">
        <v>15.11</v>
      </c>
      <c r="M172" s="1">
        <v>27.26</v>
      </c>
      <c r="N172" s="1">
        <v>6.26</v>
      </c>
      <c r="O172" s="1">
        <v>30.24</v>
      </c>
      <c r="P172" s="1">
        <v>34.29</v>
      </c>
      <c r="Q172" s="1">
        <v>10760.84</v>
      </c>
      <c r="R172" s="1">
        <v>42</v>
      </c>
      <c r="S172" s="1">
        <v>67.5</v>
      </c>
    </row>
    <row r="173" spans="1:19" ht="15">
      <c r="A173" s="1">
        <v>10</v>
      </c>
      <c r="B173" s="1" t="s">
        <v>34</v>
      </c>
      <c r="C173" s="1" t="s">
        <v>33</v>
      </c>
      <c r="D173" s="1">
        <v>2024</v>
      </c>
      <c r="E173" s="1" t="s">
        <v>21</v>
      </c>
      <c r="F173" s="1">
        <v>27203207</v>
      </c>
      <c r="G173" s="1">
        <v>14094671</v>
      </c>
      <c r="H173" s="1">
        <v>13108536</v>
      </c>
      <c r="I173" s="1">
        <v>1548468</v>
      </c>
      <c r="J173" s="1">
        <v>110732</v>
      </c>
      <c r="K173" s="1">
        <v>5.69</v>
      </c>
      <c r="L173" s="1">
        <v>24.65</v>
      </c>
      <c r="M173" s="1">
        <v>34.15</v>
      </c>
      <c r="N173" s="1">
        <v>9.89</v>
      </c>
      <c r="O173" s="1">
        <v>29.11</v>
      </c>
      <c r="P173" s="1">
        <v>28.63</v>
      </c>
      <c r="Q173" s="1">
        <v>4653.7</v>
      </c>
      <c r="R173" s="1">
        <v>64</v>
      </c>
      <c r="S173" s="1">
        <v>61.3</v>
      </c>
    </row>
    <row r="174" spans="1:19" ht="15">
      <c r="A174" s="1">
        <v>10</v>
      </c>
      <c r="B174" s="1" t="s">
        <v>34</v>
      </c>
      <c r="C174" s="1" t="s">
        <v>33</v>
      </c>
      <c r="D174" s="1">
        <v>2024</v>
      </c>
      <c r="E174" s="1" t="s">
        <v>22</v>
      </c>
      <c r="F174" s="1">
        <v>89977408</v>
      </c>
      <c r="G174" s="1">
        <v>44592274</v>
      </c>
      <c r="H174" s="1">
        <v>45385134</v>
      </c>
      <c r="I174" s="1">
        <v>6772247</v>
      </c>
      <c r="J174" s="1">
        <v>440044</v>
      </c>
      <c r="K174" s="1">
        <v>7.53</v>
      </c>
      <c r="L174" s="1">
        <v>17.88</v>
      </c>
      <c r="M174" s="1">
        <v>14.05</v>
      </c>
      <c r="N174" s="1">
        <v>13.31</v>
      </c>
      <c r="O174" s="1">
        <v>38.880000000000003</v>
      </c>
      <c r="P174" s="1">
        <v>20.87</v>
      </c>
      <c r="Q174" s="1">
        <v>7524.47</v>
      </c>
      <c r="R174" s="1">
        <v>65</v>
      </c>
      <c r="S174" s="1">
        <v>68.7</v>
      </c>
    </row>
    <row r="175" spans="1:19" ht="15">
      <c r="A175" s="1">
        <v>10</v>
      </c>
      <c r="B175" s="1" t="s">
        <v>34</v>
      </c>
      <c r="C175" s="1" t="s">
        <v>33</v>
      </c>
      <c r="D175" s="1">
        <v>2024</v>
      </c>
      <c r="E175" s="1" t="s">
        <v>23</v>
      </c>
      <c r="F175" s="1">
        <v>40774768</v>
      </c>
      <c r="G175" s="1">
        <v>19661059</v>
      </c>
      <c r="H175" s="1">
        <v>21113709</v>
      </c>
      <c r="I175" s="1">
        <v>3913161</v>
      </c>
      <c r="J175" s="1">
        <v>284605</v>
      </c>
      <c r="K175" s="1">
        <v>9.6</v>
      </c>
      <c r="L175" s="1">
        <v>12.77</v>
      </c>
      <c r="M175" s="1">
        <v>26.03</v>
      </c>
      <c r="N175" s="1">
        <v>8.31</v>
      </c>
      <c r="O175" s="1">
        <v>24.2</v>
      </c>
      <c r="P175" s="1">
        <v>36.19</v>
      </c>
      <c r="Q175" s="1">
        <v>9159.49</v>
      </c>
      <c r="R175" s="1">
        <v>71</v>
      </c>
      <c r="S175" s="1">
        <v>73.3</v>
      </c>
    </row>
    <row r="176" spans="1:19" ht="15">
      <c r="A176" s="1">
        <v>10</v>
      </c>
      <c r="B176" s="1" t="s">
        <v>34</v>
      </c>
      <c r="C176" s="1" t="s">
        <v>33</v>
      </c>
      <c r="D176" s="1">
        <v>2025</v>
      </c>
      <c r="E176" s="1" t="s">
        <v>21</v>
      </c>
      <c r="F176" s="1">
        <v>173816799</v>
      </c>
      <c r="G176" s="1">
        <v>89478942</v>
      </c>
      <c r="H176" s="1">
        <v>84337857</v>
      </c>
      <c r="I176" s="1">
        <v>11657788</v>
      </c>
      <c r="J176" s="1">
        <v>637098</v>
      </c>
      <c r="K176" s="1">
        <v>6.71</v>
      </c>
      <c r="L176" s="1">
        <v>14.59</v>
      </c>
      <c r="M176" s="1">
        <v>21.33</v>
      </c>
      <c r="N176" s="1">
        <v>6.71</v>
      </c>
      <c r="O176" s="1">
        <v>26.91</v>
      </c>
      <c r="P176" s="1">
        <v>31.08</v>
      </c>
      <c r="Q176" s="1">
        <v>3681.9</v>
      </c>
      <c r="R176" s="1">
        <v>67</v>
      </c>
      <c r="S176" s="1">
        <v>75</v>
      </c>
    </row>
    <row r="177" spans="1:19" ht="15">
      <c r="A177" s="1">
        <v>10</v>
      </c>
      <c r="B177" s="1" t="s">
        <v>34</v>
      </c>
      <c r="C177" s="1" t="s">
        <v>33</v>
      </c>
      <c r="D177" s="1">
        <v>2025</v>
      </c>
      <c r="E177" s="1" t="s">
        <v>22</v>
      </c>
      <c r="F177" s="1">
        <v>72890594</v>
      </c>
      <c r="G177" s="1">
        <v>36823110</v>
      </c>
      <c r="H177" s="1">
        <v>36067484</v>
      </c>
      <c r="I177" s="1">
        <v>5354858</v>
      </c>
      <c r="J177" s="1">
        <v>265262</v>
      </c>
      <c r="K177" s="1">
        <v>7.35</v>
      </c>
      <c r="L177" s="1">
        <v>11.45</v>
      </c>
      <c r="M177" s="1">
        <v>29.16</v>
      </c>
      <c r="N177" s="1">
        <v>14.55</v>
      </c>
      <c r="O177" s="1">
        <v>24.82</v>
      </c>
      <c r="P177" s="1">
        <v>32.409999999999997</v>
      </c>
      <c r="Q177" s="1">
        <v>7431.81</v>
      </c>
      <c r="R177" s="1">
        <v>75</v>
      </c>
      <c r="S177" s="1">
        <v>78.7</v>
      </c>
    </row>
    <row r="178" spans="1:19" ht="15">
      <c r="A178" s="1">
        <v>10</v>
      </c>
      <c r="B178" s="1" t="s">
        <v>34</v>
      </c>
      <c r="C178" s="1" t="s">
        <v>33</v>
      </c>
      <c r="D178" s="1">
        <v>2025</v>
      </c>
      <c r="E178" s="1" t="s">
        <v>23</v>
      </c>
      <c r="F178" s="1">
        <v>154494603</v>
      </c>
      <c r="G178" s="1">
        <v>75369111</v>
      </c>
      <c r="H178" s="1">
        <v>79125492</v>
      </c>
      <c r="I178" s="1">
        <v>8766933</v>
      </c>
      <c r="J178" s="1">
        <v>410648</v>
      </c>
      <c r="K178" s="1">
        <v>5.67</v>
      </c>
      <c r="L178" s="1">
        <v>13.72</v>
      </c>
      <c r="M178" s="1">
        <v>25.06</v>
      </c>
      <c r="N178" s="1">
        <v>5.88</v>
      </c>
      <c r="O178" s="1">
        <v>33.51</v>
      </c>
      <c r="P178" s="1">
        <v>34.630000000000003</v>
      </c>
      <c r="Q178" s="1">
        <v>975.49</v>
      </c>
      <c r="R178" s="1">
        <v>70</v>
      </c>
      <c r="S178" s="1">
        <v>80.400000000000006</v>
      </c>
    </row>
    <row r="179" spans="1:19" ht="15">
      <c r="A179" s="1">
        <v>10</v>
      </c>
      <c r="B179" s="1" t="s">
        <v>34</v>
      </c>
      <c r="C179" s="1" t="s">
        <v>33</v>
      </c>
      <c r="D179" s="1">
        <v>2026</v>
      </c>
      <c r="E179" s="1" t="s">
        <v>21</v>
      </c>
      <c r="F179" s="1">
        <v>83371951</v>
      </c>
      <c r="G179" s="1">
        <v>40160847</v>
      </c>
      <c r="H179" s="1">
        <v>43211104</v>
      </c>
      <c r="I179" s="1">
        <v>6451371</v>
      </c>
      <c r="J179" s="1">
        <v>202475</v>
      </c>
      <c r="K179" s="1">
        <v>7.74</v>
      </c>
      <c r="L179" s="1">
        <v>19.54</v>
      </c>
      <c r="M179" s="1">
        <v>12.03</v>
      </c>
      <c r="N179" s="1">
        <v>10.76</v>
      </c>
      <c r="O179" s="1">
        <v>21.54</v>
      </c>
      <c r="P179" s="1">
        <v>17.23</v>
      </c>
      <c r="Q179" s="1">
        <v>11663.8</v>
      </c>
      <c r="R179" s="1">
        <v>76</v>
      </c>
      <c r="S179" s="1">
        <v>78.599999999999994</v>
      </c>
    </row>
    <row r="180" spans="1:19" ht="15">
      <c r="A180" s="1">
        <v>10</v>
      </c>
      <c r="B180" s="1" t="s">
        <v>34</v>
      </c>
      <c r="C180" s="1" t="s">
        <v>33</v>
      </c>
      <c r="D180" s="1">
        <v>2026</v>
      </c>
      <c r="E180" s="1" t="s">
        <v>22</v>
      </c>
      <c r="F180" s="1">
        <v>182454481</v>
      </c>
      <c r="G180" s="1">
        <v>93324397</v>
      </c>
      <c r="H180" s="1">
        <v>89130084</v>
      </c>
      <c r="I180" s="1">
        <v>11073225</v>
      </c>
      <c r="J180" s="1">
        <v>389517</v>
      </c>
      <c r="K180" s="1">
        <v>6.07</v>
      </c>
      <c r="L180" s="1">
        <v>16.440000000000001</v>
      </c>
      <c r="M180" s="1">
        <v>29.02</v>
      </c>
      <c r="N180" s="1">
        <v>12.55</v>
      </c>
      <c r="O180" s="1">
        <v>34.35</v>
      </c>
      <c r="P180" s="1">
        <v>25.42</v>
      </c>
      <c r="Q180" s="1">
        <v>6349.94</v>
      </c>
      <c r="R180" s="1">
        <v>70</v>
      </c>
      <c r="S180" s="1">
        <v>77</v>
      </c>
    </row>
    <row r="181" spans="1:19" ht="15">
      <c r="A181" s="1">
        <v>10</v>
      </c>
      <c r="B181" s="1" t="s">
        <v>34</v>
      </c>
      <c r="C181" s="1" t="s">
        <v>33</v>
      </c>
      <c r="D181" s="1">
        <v>2026</v>
      </c>
      <c r="E181" s="1" t="s">
        <v>23</v>
      </c>
      <c r="F181" s="1">
        <v>54180065</v>
      </c>
      <c r="G181" s="1">
        <v>26486052</v>
      </c>
      <c r="H181" s="1">
        <v>27694013</v>
      </c>
      <c r="I181" s="1">
        <v>3982568</v>
      </c>
      <c r="J181" s="1">
        <v>305630</v>
      </c>
      <c r="K181" s="1">
        <v>7.35</v>
      </c>
      <c r="L181" s="1">
        <v>29.22</v>
      </c>
      <c r="M181" s="1">
        <v>11.94</v>
      </c>
      <c r="N181" s="1">
        <v>6.2</v>
      </c>
      <c r="O181" s="1">
        <v>21.16</v>
      </c>
      <c r="P181" s="1">
        <v>27.63</v>
      </c>
      <c r="Q181" s="1">
        <v>10828.77</v>
      </c>
      <c r="R181" s="1">
        <v>66</v>
      </c>
      <c r="S181" s="1">
        <v>71.8</v>
      </c>
    </row>
    <row r="182" spans="1:19" ht="15">
      <c r="A182" s="1">
        <v>11</v>
      </c>
      <c r="B182" s="1" t="s">
        <v>35</v>
      </c>
      <c r="C182" s="1" t="s">
        <v>33</v>
      </c>
      <c r="D182" s="1">
        <v>2021</v>
      </c>
      <c r="E182" s="1" t="s">
        <v>21</v>
      </c>
      <c r="F182" s="1">
        <v>65037553</v>
      </c>
      <c r="G182" s="1">
        <v>33510231</v>
      </c>
      <c r="H182" s="1">
        <v>31527322</v>
      </c>
      <c r="I182" s="1">
        <v>4037054</v>
      </c>
      <c r="J182" s="1">
        <v>232034</v>
      </c>
      <c r="K182" s="1">
        <v>6.21</v>
      </c>
      <c r="L182" s="1">
        <v>27.71</v>
      </c>
      <c r="M182" s="1">
        <v>31.79</v>
      </c>
      <c r="N182" s="1">
        <v>6.32</v>
      </c>
      <c r="O182" s="1">
        <v>26.1</v>
      </c>
      <c r="P182" s="1">
        <v>25.19</v>
      </c>
      <c r="Q182" s="1">
        <v>9384.08</v>
      </c>
      <c r="R182" s="1">
        <v>54</v>
      </c>
      <c r="S182" s="1">
        <v>75.8</v>
      </c>
    </row>
    <row r="183" spans="1:19" ht="15">
      <c r="A183" s="1">
        <v>11</v>
      </c>
      <c r="B183" s="1" t="s">
        <v>35</v>
      </c>
      <c r="C183" s="1" t="s">
        <v>33</v>
      </c>
      <c r="D183" s="1">
        <v>2021</v>
      </c>
      <c r="E183" s="1" t="s">
        <v>22</v>
      </c>
      <c r="F183" s="1">
        <v>80316778</v>
      </c>
      <c r="G183" s="1">
        <v>39762776</v>
      </c>
      <c r="H183" s="1">
        <v>40554002</v>
      </c>
      <c r="I183" s="1">
        <v>5168026</v>
      </c>
      <c r="J183" s="1">
        <v>305552</v>
      </c>
      <c r="K183" s="1">
        <v>6.43</v>
      </c>
      <c r="L183" s="1">
        <v>26.08</v>
      </c>
      <c r="M183" s="1">
        <v>18.78</v>
      </c>
      <c r="N183" s="1">
        <v>7.84</v>
      </c>
      <c r="O183" s="1">
        <v>20.2</v>
      </c>
      <c r="P183" s="1">
        <v>17.760000000000002</v>
      </c>
      <c r="Q183" s="1">
        <v>2009.39</v>
      </c>
      <c r="R183" s="1">
        <v>64</v>
      </c>
      <c r="S183" s="1">
        <v>69.900000000000006</v>
      </c>
    </row>
    <row r="184" spans="1:19" ht="15">
      <c r="A184" s="1">
        <v>11</v>
      </c>
      <c r="B184" s="1" t="s">
        <v>35</v>
      </c>
      <c r="C184" s="1" t="s">
        <v>33</v>
      </c>
      <c r="D184" s="1">
        <v>2021</v>
      </c>
      <c r="E184" s="1" t="s">
        <v>23</v>
      </c>
      <c r="F184" s="1">
        <v>23345290</v>
      </c>
      <c r="G184" s="1">
        <v>11583359</v>
      </c>
      <c r="H184" s="1">
        <v>11761931</v>
      </c>
      <c r="I184" s="1">
        <v>1337735</v>
      </c>
      <c r="J184" s="1">
        <v>51363</v>
      </c>
      <c r="K184" s="1">
        <v>5.73</v>
      </c>
      <c r="L184" s="1">
        <v>29.06</v>
      </c>
      <c r="M184" s="1">
        <v>25.5</v>
      </c>
      <c r="N184" s="1">
        <v>7.96</v>
      </c>
      <c r="O184" s="1">
        <v>36.89</v>
      </c>
      <c r="P184" s="1">
        <v>38.69</v>
      </c>
      <c r="Q184" s="1">
        <v>6787.1</v>
      </c>
      <c r="R184" s="1">
        <v>74</v>
      </c>
      <c r="S184" s="1">
        <v>70.400000000000006</v>
      </c>
    </row>
    <row r="185" spans="1:19" ht="15">
      <c r="A185" s="1">
        <v>11</v>
      </c>
      <c r="B185" s="1" t="s">
        <v>35</v>
      </c>
      <c r="C185" s="1" t="s">
        <v>33</v>
      </c>
      <c r="D185" s="1">
        <v>2022</v>
      </c>
      <c r="E185" s="1" t="s">
        <v>21</v>
      </c>
      <c r="F185" s="1">
        <v>33458143</v>
      </c>
      <c r="G185" s="1">
        <v>16561899</v>
      </c>
      <c r="H185" s="1">
        <v>16896244</v>
      </c>
      <c r="I185" s="1">
        <v>3118522</v>
      </c>
      <c r="J185" s="1">
        <v>204593</v>
      </c>
      <c r="K185" s="1">
        <v>9.32</v>
      </c>
      <c r="L185" s="1">
        <v>28.23</v>
      </c>
      <c r="M185" s="1">
        <v>10.83</v>
      </c>
      <c r="N185" s="1">
        <v>6.32</v>
      </c>
      <c r="O185" s="1">
        <v>30.49</v>
      </c>
      <c r="P185" s="1">
        <v>29.67</v>
      </c>
      <c r="Q185" s="1">
        <v>5447.5</v>
      </c>
      <c r="R185" s="1">
        <v>57</v>
      </c>
      <c r="S185" s="1">
        <v>71.900000000000006</v>
      </c>
    </row>
    <row r="186" spans="1:19" ht="15">
      <c r="A186" s="1">
        <v>11</v>
      </c>
      <c r="B186" s="1" t="s">
        <v>35</v>
      </c>
      <c r="C186" s="1" t="s">
        <v>33</v>
      </c>
      <c r="D186" s="1">
        <v>2022</v>
      </c>
      <c r="E186" s="1" t="s">
        <v>22</v>
      </c>
      <c r="F186" s="1">
        <v>178561765</v>
      </c>
      <c r="G186" s="1">
        <v>89729941</v>
      </c>
      <c r="H186" s="1">
        <v>88831824</v>
      </c>
      <c r="I186" s="1">
        <v>11267878</v>
      </c>
      <c r="J186" s="1">
        <v>619644</v>
      </c>
      <c r="K186" s="1">
        <v>6.31</v>
      </c>
      <c r="L186" s="1">
        <v>15.95</v>
      </c>
      <c r="M186" s="1">
        <v>25.76</v>
      </c>
      <c r="N186" s="1">
        <v>10.87</v>
      </c>
      <c r="O186" s="1">
        <v>34.159999999999997</v>
      </c>
      <c r="P186" s="1">
        <v>39.35</v>
      </c>
      <c r="Q186" s="1">
        <v>6234.38</v>
      </c>
      <c r="R186" s="1">
        <v>80</v>
      </c>
      <c r="S186" s="1">
        <v>60.9</v>
      </c>
    </row>
    <row r="187" spans="1:19" ht="15">
      <c r="A187" s="1">
        <v>11</v>
      </c>
      <c r="B187" s="1" t="s">
        <v>35</v>
      </c>
      <c r="C187" s="1" t="s">
        <v>33</v>
      </c>
      <c r="D187" s="1">
        <v>2022</v>
      </c>
      <c r="E187" s="1" t="s">
        <v>23</v>
      </c>
      <c r="F187" s="1">
        <v>52691143</v>
      </c>
      <c r="G187" s="1">
        <v>26362269</v>
      </c>
      <c r="H187" s="1">
        <v>26328874</v>
      </c>
      <c r="I187" s="1">
        <v>4717816</v>
      </c>
      <c r="J187" s="1">
        <v>360367</v>
      </c>
      <c r="K187" s="1">
        <v>8.9499999999999993</v>
      </c>
      <c r="L187" s="1">
        <v>13.22</v>
      </c>
      <c r="M187" s="1">
        <v>32.15</v>
      </c>
      <c r="N187" s="1">
        <v>6.73</v>
      </c>
      <c r="O187" s="1">
        <v>31.8</v>
      </c>
      <c r="P187" s="1">
        <v>15.12</v>
      </c>
      <c r="Q187" s="1">
        <v>10217.4</v>
      </c>
      <c r="R187" s="1">
        <v>62</v>
      </c>
      <c r="S187" s="1">
        <v>69.5</v>
      </c>
    </row>
    <row r="188" spans="1:19" ht="15">
      <c r="A188" s="1">
        <v>11</v>
      </c>
      <c r="B188" s="1" t="s">
        <v>35</v>
      </c>
      <c r="C188" s="1" t="s">
        <v>33</v>
      </c>
      <c r="D188" s="1">
        <v>2023</v>
      </c>
      <c r="E188" s="1" t="s">
        <v>21</v>
      </c>
      <c r="F188" s="1">
        <v>30063821</v>
      </c>
      <c r="G188" s="1">
        <v>15568445</v>
      </c>
      <c r="H188" s="1">
        <v>14495376</v>
      </c>
      <c r="I188" s="1">
        <v>1632202</v>
      </c>
      <c r="J188" s="1">
        <v>77689</v>
      </c>
      <c r="K188" s="1">
        <v>5.43</v>
      </c>
      <c r="L188" s="1">
        <v>19.32</v>
      </c>
      <c r="M188" s="1">
        <v>16.600000000000001</v>
      </c>
      <c r="N188" s="1">
        <v>8.58</v>
      </c>
      <c r="O188" s="1">
        <v>36.880000000000003</v>
      </c>
      <c r="P188" s="1">
        <v>19.920000000000002</v>
      </c>
      <c r="Q188" s="1">
        <v>6903.48</v>
      </c>
      <c r="R188" s="1">
        <v>49</v>
      </c>
      <c r="S188" s="1">
        <v>64.900000000000006</v>
      </c>
    </row>
    <row r="189" spans="1:19" ht="15">
      <c r="A189" s="1">
        <v>11</v>
      </c>
      <c r="B189" s="1" t="s">
        <v>35</v>
      </c>
      <c r="C189" s="1" t="s">
        <v>33</v>
      </c>
      <c r="D189" s="1">
        <v>2023</v>
      </c>
      <c r="E189" s="1" t="s">
        <v>22</v>
      </c>
      <c r="F189" s="1">
        <v>69689011</v>
      </c>
      <c r="G189" s="1">
        <v>34148752</v>
      </c>
      <c r="H189" s="1">
        <v>35540259</v>
      </c>
      <c r="I189" s="1">
        <v>4583392</v>
      </c>
      <c r="J189" s="1">
        <v>258226</v>
      </c>
      <c r="K189" s="1">
        <v>6.58</v>
      </c>
      <c r="L189" s="1">
        <v>15.04</v>
      </c>
      <c r="M189" s="1">
        <v>28.24</v>
      </c>
      <c r="N189" s="1">
        <v>7.25</v>
      </c>
      <c r="O189" s="1">
        <v>36.75</v>
      </c>
      <c r="P189" s="1">
        <v>32.520000000000003</v>
      </c>
      <c r="Q189" s="1">
        <v>1986.1</v>
      </c>
      <c r="R189" s="1">
        <v>67</v>
      </c>
      <c r="S189" s="1">
        <v>72</v>
      </c>
    </row>
    <row r="190" spans="1:19" ht="15">
      <c r="A190" s="1">
        <v>11</v>
      </c>
      <c r="B190" s="1" t="s">
        <v>35</v>
      </c>
      <c r="C190" s="1" t="s">
        <v>33</v>
      </c>
      <c r="D190" s="1">
        <v>2023</v>
      </c>
      <c r="E190" s="1" t="s">
        <v>23</v>
      </c>
      <c r="F190" s="1">
        <v>136184615</v>
      </c>
      <c r="G190" s="1">
        <v>66306406</v>
      </c>
      <c r="H190" s="1">
        <v>69878209</v>
      </c>
      <c r="I190" s="1">
        <v>8939785</v>
      </c>
      <c r="J190" s="1">
        <v>584595</v>
      </c>
      <c r="K190" s="1">
        <v>6.56</v>
      </c>
      <c r="L190" s="1">
        <v>22.37</v>
      </c>
      <c r="M190" s="1">
        <v>23.3</v>
      </c>
      <c r="N190" s="1">
        <v>6.82</v>
      </c>
      <c r="O190" s="1">
        <v>25.95</v>
      </c>
      <c r="P190" s="1">
        <v>32.159999999999997</v>
      </c>
      <c r="Q190" s="1">
        <v>6141.74</v>
      </c>
      <c r="R190" s="1">
        <v>42</v>
      </c>
      <c r="S190" s="1">
        <v>67.400000000000006</v>
      </c>
    </row>
    <row r="191" spans="1:19" ht="15">
      <c r="A191" s="1">
        <v>11</v>
      </c>
      <c r="B191" s="1" t="s">
        <v>35</v>
      </c>
      <c r="C191" s="1" t="s">
        <v>33</v>
      </c>
      <c r="D191" s="1">
        <v>2024</v>
      </c>
      <c r="E191" s="1" t="s">
        <v>21</v>
      </c>
      <c r="F191" s="1">
        <v>58785594</v>
      </c>
      <c r="G191" s="1">
        <v>28325340</v>
      </c>
      <c r="H191" s="1">
        <v>30460254</v>
      </c>
      <c r="I191" s="1">
        <v>5656334</v>
      </c>
      <c r="J191" s="1">
        <v>287352</v>
      </c>
      <c r="K191" s="1">
        <v>9.6199999999999992</v>
      </c>
      <c r="L191" s="1">
        <v>27.85</v>
      </c>
      <c r="M191" s="1">
        <v>16.07</v>
      </c>
      <c r="N191" s="1">
        <v>10.9</v>
      </c>
      <c r="O191" s="1">
        <v>25.11</v>
      </c>
      <c r="P191" s="1">
        <v>37.06</v>
      </c>
      <c r="Q191" s="1">
        <v>3073.05</v>
      </c>
      <c r="R191" s="1">
        <v>43</v>
      </c>
      <c r="S191" s="1">
        <v>72.599999999999994</v>
      </c>
    </row>
    <row r="192" spans="1:19" ht="15">
      <c r="A192" s="1">
        <v>11</v>
      </c>
      <c r="B192" s="1" t="s">
        <v>35</v>
      </c>
      <c r="C192" s="1" t="s">
        <v>33</v>
      </c>
      <c r="D192" s="1">
        <v>2024</v>
      </c>
      <c r="E192" s="1" t="s">
        <v>22</v>
      </c>
      <c r="F192" s="1">
        <v>17407517</v>
      </c>
      <c r="G192" s="1">
        <v>8863953</v>
      </c>
      <c r="H192" s="1">
        <v>8543564</v>
      </c>
      <c r="I192" s="1">
        <v>1353012</v>
      </c>
      <c r="J192" s="1">
        <v>65230</v>
      </c>
      <c r="K192" s="1">
        <v>7.77</v>
      </c>
      <c r="L192" s="1">
        <v>20.6</v>
      </c>
      <c r="M192" s="1">
        <v>10.1</v>
      </c>
      <c r="N192" s="1">
        <v>6.31</v>
      </c>
      <c r="O192" s="1">
        <v>25.58</v>
      </c>
      <c r="P192" s="1">
        <v>16.170000000000002</v>
      </c>
      <c r="Q192" s="1">
        <v>3239.68</v>
      </c>
      <c r="R192" s="1">
        <v>83</v>
      </c>
      <c r="S192" s="1">
        <v>69.7</v>
      </c>
    </row>
    <row r="193" spans="1:19" ht="15">
      <c r="A193" s="1">
        <v>11</v>
      </c>
      <c r="B193" s="1" t="s">
        <v>35</v>
      </c>
      <c r="C193" s="1" t="s">
        <v>33</v>
      </c>
      <c r="D193" s="1">
        <v>2024</v>
      </c>
      <c r="E193" s="1" t="s">
        <v>23</v>
      </c>
      <c r="F193" s="1">
        <v>171774882</v>
      </c>
      <c r="G193" s="1">
        <v>88766671</v>
      </c>
      <c r="H193" s="1">
        <v>83008211</v>
      </c>
      <c r="I193" s="1">
        <v>8766074</v>
      </c>
      <c r="J193" s="1">
        <v>464557</v>
      </c>
      <c r="K193" s="1">
        <v>5.0999999999999996</v>
      </c>
      <c r="L193" s="1">
        <v>23.67</v>
      </c>
      <c r="M193" s="1">
        <v>28.81</v>
      </c>
      <c r="N193" s="1">
        <v>6.59</v>
      </c>
      <c r="O193" s="1">
        <v>20.14</v>
      </c>
      <c r="P193" s="1">
        <v>21.23</v>
      </c>
      <c r="Q193" s="1">
        <v>4113.3</v>
      </c>
      <c r="R193" s="1">
        <v>68</v>
      </c>
      <c r="S193" s="1">
        <v>65.099999999999994</v>
      </c>
    </row>
    <row r="194" spans="1:19" ht="15">
      <c r="A194" s="1">
        <v>11</v>
      </c>
      <c r="B194" s="1" t="s">
        <v>35</v>
      </c>
      <c r="C194" s="1" t="s">
        <v>33</v>
      </c>
      <c r="D194" s="1">
        <v>2025</v>
      </c>
      <c r="E194" s="1" t="s">
        <v>21</v>
      </c>
      <c r="F194" s="1">
        <v>38245410</v>
      </c>
      <c r="G194" s="1">
        <v>19370535</v>
      </c>
      <c r="H194" s="1">
        <v>18874875</v>
      </c>
      <c r="I194" s="1">
        <v>2336276</v>
      </c>
      <c r="J194" s="1">
        <v>92148</v>
      </c>
      <c r="K194" s="1">
        <v>6.11</v>
      </c>
      <c r="L194" s="1">
        <v>15.42</v>
      </c>
      <c r="M194" s="1">
        <v>21.38</v>
      </c>
      <c r="N194" s="1">
        <v>6.98</v>
      </c>
      <c r="O194" s="1">
        <v>29.91</v>
      </c>
      <c r="P194" s="1">
        <v>38.42</v>
      </c>
      <c r="Q194" s="1">
        <v>9950.27</v>
      </c>
      <c r="R194" s="1">
        <v>62</v>
      </c>
      <c r="S194" s="1">
        <v>81.7</v>
      </c>
    </row>
    <row r="195" spans="1:19" ht="15">
      <c r="A195" s="1">
        <v>11</v>
      </c>
      <c r="B195" s="1" t="s">
        <v>35</v>
      </c>
      <c r="C195" s="1" t="s">
        <v>33</v>
      </c>
      <c r="D195" s="1">
        <v>2025</v>
      </c>
      <c r="E195" s="1" t="s">
        <v>22</v>
      </c>
      <c r="F195" s="1">
        <v>150520694</v>
      </c>
      <c r="G195" s="1">
        <v>77799144</v>
      </c>
      <c r="H195" s="1">
        <v>72721550</v>
      </c>
      <c r="I195" s="1">
        <v>11688217</v>
      </c>
      <c r="J195" s="1">
        <v>754898</v>
      </c>
      <c r="K195" s="1">
        <v>7.77</v>
      </c>
      <c r="L195" s="1">
        <v>17.05</v>
      </c>
      <c r="M195" s="1">
        <v>23.46</v>
      </c>
      <c r="N195" s="1">
        <v>14.21</v>
      </c>
      <c r="O195" s="1">
        <v>30.15</v>
      </c>
      <c r="P195" s="1">
        <v>25.53</v>
      </c>
      <c r="Q195" s="1">
        <v>8068.64</v>
      </c>
      <c r="R195" s="1">
        <v>58</v>
      </c>
      <c r="S195" s="1">
        <v>62.2</v>
      </c>
    </row>
    <row r="196" spans="1:19" ht="15">
      <c r="A196" s="1">
        <v>11</v>
      </c>
      <c r="B196" s="1" t="s">
        <v>35</v>
      </c>
      <c r="C196" s="1" t="s">
        <v>33</v>
      </c>
      <c r="D196" s="1">
        <v>2025</v>
      </c>
      <c r="E196" s="1" t="s">
        <v>23</v>
      </c>
      <c r="F196" s="1">
        <v>93548733</v>
      </c>
      <c r="G196" s="1">
        <v>46321367</v>
      </c>
      <c r="H196" s="1">
        <v>47227366</v>
      </c>
      <c r="I196" s="1">
        <v>5312880</v>
      </c>
      <c r="J196" s="1">
        <v>402350</v>
      </c>
      <c r="K196" s="1">
        <v>5.68</v>
      </c>
      <c r="L196" s="1">
        <v>24.82</v>
      </c>
      <c r="M196" s="1">
        <v>20.98</v>
      </c>
      <c r="N196" s="1">
        <v>5.71</v>
      </c>
      <c r="O196" s="1">
        <v>22.26</v>
      </c>
      <c r="P196" s="1">
        <v>21.56</v>
      </c>
      <c r="Q196" s="1">
        <v>6529.29</v>
      </c>
      <c r="R196" s="1">
        <v>60</v>
      </c>
      <c r="S196" s="1">
        <v>68.3</v>
      </c>
    </row>
    <row r="197" spans="1:19" ht="15">
      <c r="A197" s="1">
        <v>11</v>
      </c>
      <c r="B197" s="1" t="s">
        <v>35</v>
      </c>
      <c r="C197" s="1" t="s">
        <v>33</v>
      </c>
      <c r="D197" s="1">
        <v>2026</v>
      </c>
      <c r="E197" s="1" t="s">
        <v>21</v>
      </c>
      <c r="F197" s="1">
        <v>22129072</v>
      </c>
      <c r="G197" s="1">
        <v>10782246</v>
      </c>
      <c r="H197" s="1">
        <v>11346826</v>
      </c>
      <c r="I197" s="1">
        <v>1221601</v>
      </c>
      <c r="J197" s="1">
        <v>44021</v>
      </c>
      <c r="K197" s="1">
        <v>5.52</v>
      </c>
      <c r="L197" s="1">
        <v>12.41</v>
      </c>
      <c r="M197" s="1">
        <v>30.79</v>
      </c>
      <c r="N197" s="1">
        <v>6.8</v>
      </c>
      <c r="O197" s="1">
        <v>22.23</v>
      </c>
      <c r="P197" s="1">
        <v>35.770000000000003</v>
      </c>
      <c r="Q197" s="1">
        <v>11551.63</v>
      </c>
      <c r="R197" s="1">
        <v>61</v>
      </c>
      <c r="S197" s="1">
        <v>61.7</v>
      </c>
    </row>
    <row r="198" spans="1:19" ht="15">
      <c r="A198" s="1">
        <v>11</v>
      </c>
      <c r="B198" s="1" t="s">
        <v>35</v>
      </c>
      <c r="C198" s="1" t="s">
        <v>33</v>
      </c>
      <c r="D198" s="1">
        <v>2026</v>
      </c>
      <c r="E198" s="1" t="s">
        <v>22</v>
      </c>
      <c r="F198" s="1">
        <v>147111333</v>
      </c>
      <c r="G198" s="1">
        <v>71409180</v>
      </c>
      <c r="H198" s="1">
        <v>75702153</v>
      </c>
      <c r="I198" s="1">
        <v>8425976</v>
      </c>
      <c r="J198" s="1">
        <v>293990</v>
      </c>
      <c r="K198" s="1">
        <v>5.73</v>
      </c>
      <c r="L198" s="1">
        <v>19.61</v>
      </c>
      <c r="M198" s="1">
        <v>11.4</v>
      </c>
      <c r="N198" s="1">
        <v>12.95</v>
      </c>
      <c r="O198" s="1">
        <v>28.21</v>
      </c>
      <c r="P198" s="1">
        <v>19.88</v>
      </c>
      <c r="Q198" s="1">
        <v>1569.8</v>
      </c>
      <c r="R198" s="1">
        <v>45</v>
      </c>
      <c r="S198" s="1">
        <v>77.900000000000006</v>
      </c>
    </row>
    <row r="199" spans="1:19" ht="15">
      <c r="A199" s="1">
        <v>11</v>
      </c>
      <c r="B199" s="1" t="s">
        <v>35</v>
      </c>
      <c r="C199" s="1" t="s">
        <v>33</v>
      </c>
      <c r="D199" s="1">
        <v>2026</v>
      </c>
      <c r="E199" s="1" t="s">
        <v>23</v>
      </c>
      <c r="F199" s="1">
        <v>114260139</v>
      </c>
      <c r="G199" s="1">
        <v>57508304</v>
      </c>
      <c r="H199" s="1">
        <v>56751835</v>
      </c>
      <c r="I199" s="1">
        <v>7070533</v>
      </c>
      <c r="J199" s="1">
        <v>495963</v>
      </c>
      <c r="K199" s="1">
        <v>6.19</v>
      </c>
      <c r="L199" s="1">
        <v>20.29</v>
      </c>
      <c r="M199" s="1">
        <v>24.63</v>
      </c>
      <c r="N199" s="1">
        <v>14.08</v>
      </c>
      <c r="O199" s="1">
        <v>33.51</v>
      </c>
      <c r="P199" s="1">
        <v>17.920000000000002</v>
      </c>
      <c r="Q199" s="1">
        <v>8486.4699999999993</v>
      </c>
      <c r="R199" s="1">
        <v>49</v>
      </c>
      <c r="S199" s="1">
        <v>78.2</v>
      </c>
    </row>
    <row r="200" spans="1:19" ht="15">
      <c r="A200" s="1">
        <v>12</v>
      </c>
      <c r="B200" s="1" t="s">
        <v>36</v>
      </c>
      <c r="C200" s="1" t="s">
        <v>33</v>
      </c>
      <c r="D200" s="1">
        <v>2021</v>
      </c>
      <c r="E200" s="1" t="s">
        <v>21</v>
      </c>
      <c r="F200" s="1">
        <v>58788399</v>
      </c>
      <c r="G200" s="1">
        <v>29540931</v>
      </c>
      <c r="H200" s="1">
        <v>29247468</v>
      </c>
      <c r="I200" s="1">
        <v>4528718</v>
      </c>
      <c r="J200" s="1">
        <v>167869</v>
      </c>
      <c r="K200" s="1">
        <v>7.7</v>
      </c>
      <c r="L200" s="1">
        <v>10.54</v>
      </c>
      <c r="M200" s="1">
        <v>34.369999999999997</v>
      </c>
      <c r="N200" s="1">
        <v>5.3</v>
      </c>
      <c r="O200" s="1">
        <v>21.04</v>
      </c>
      <c r="P200" s="1">
        <v>26.46</v>
      </c>
      <c r="Q200" s="1">
        <v>11279.95</v>
      </c>
      <c r="R200" s="1">
        <v>80</v>
      </c>
      <c r="S200" s="1">
        <v>82.8</v>
      </c>
    </row>
    <row r="201" spans="1:19" ht="15">
      <c r="A201" s="1">
        <v>12</v>
      </c>
      <c r="B201" s="1" t="s">
        <v>36</v>
      </c>
      <c r="C201" s="1" t="s">
        <v>33</v>
      </c>
      <c r="D201" s="1">
        <v>2021</v>
      </c>
      <c r="E201" s="1" t="s">
        <v>22</v>
      </c>
      <c r="F201" s="1">
        <v>108746529</v>
      </c>
      <c r="G201" s="1">
        <v>55312577</v>
      </c>
      <c r="H201" s="1">
        <v>53433952</v>
      </c>
      <c r="I201" s="1">
        <v>9899573</v>
      </c>
      <c r="J201" s="1">
        <v>702527</v>
      </c>
      <c r="K201" s="1">
        <v>9.1</v>
      </c>
      <c r="L201" s="1">
        <v>28.86</v>
      </c>
      <c r="M201" s="1">
        <v>34.22</v>
      </c>
      <c r="N201" s="1">
        <v>8.2799999999999994</v>
      </c>
      <c r="O201" s="1">
        <v>34.17</v>
      </c>
      <c r="P201" s="1">
        <v>27.71</v>
      </c>
      <c r="Q201" s="1">
        <v>11755.77</v>
      </c>
      <c r="R201" s="1">
        <v>56</v>
      </c>
      <c r="S201" s="1">
        <v>69.2</v>
      </c>
    </row>
    <row r="202" spans="1:19" ht="15">
      <c r="A202" s="1">
        <v>12</v>
      </c>
      <c r="B202" s="1" t="s">
        <v>36</v>
      </c>
      <c r="C202" s="1" t="s">
        <v>33</v>
      </c>
      <c r="D202" s="1">
        <v>2021</v>
      </c>
      <c r="E202" s="1" t="s">
        <v>23</v>
      </c>
      <c r="F202" s="1">
        <v>118668556</v>
      </c>
      <c r="G202" s="1">
        <v>57121135</v>
      </c>
      <c r="H202" s="1">
        <v>61547421</v>
      </c>
      <c r="I202" s="1">
        <v>10258585</v>
      </c>
      <c r="J202" s="1">
        <v>314254</v>
      </c>
      <c r="K202" s="1">
        <v>8.64</v>
      </c>
      <c r="L202" s="1">
        <v>22.97</v>
      </c>
      <c r="M202" s="1">
        <v>16.62</v>
      </c>
      <c r="N202" s="1">
        <v>11.76</v>
      </c>
      <c r="O202" s="1">
        <v>39.840000000000003</v>
      </c>
      <c r="P202" s="1">
        <v>23.71</v>
      </c>
      <c r="Q202" s="1">
        <v>6907.56</v>
      </c>
      <c r="R202" s="1">
        <v>50</v>
      </c>
      <c r="S202" s="1">
        <v>63.7</v>
      </c>
    </row>
    <row r="203" spans="1:19" ht="15">
      <c r="A203" s="1">
        <v>12</v>
      </c>
      <c r="B203" s="1" t="s">
        <v>36</v>
      </c>
      <c r="C203" s="1" t="s">
        <v>33</v>
      </c>
      <c r="D203" s="1">
        <v>2022</v>
      </c>
      <c r="E203" s="1" t="s">
        <v>21</v>
      </c>
      <c r="F203" s="1">
        <v>111709900</v>
      </c>
      <c r="G203" s="1">
        <v>56918016</v>
      </c>
      <c r="H203" s="1">
        <v>54791884</v>
      </c>
      <c r="I203" s="1">
        <v>9512468</v>
      </c>
      <c r="J203" s="1">
        <v>652267</v>
      </c>
      <c r="K203" s="1">
        <v>8.52</v>
      </c>
      <c r="L203" s="1">
        <v>14.42</v>
      </c>
      <c r="M203" s="1">
        <v>11.69</v>
      </c>
      <c r="N203" s="1">
        <v>8.94</v>
      </c>
      <c r="O203" s="1">
        <v>22.34</v>
      </c>
      <c r="P203" s="1">
        <v>21.92</v>
      </c>
      <c r="Q203" s="1">
        <v>695.15</v>
      </c>
      <c r="R203" s="1">
        <v>66</v>
      </c>
      <c r="S203" s="1">
        <v>68.3</v>
      </c>
    </row>
    <row r="204" spans="1:19" ht="15">
      <c r="A204" s="1">
        <v>12</v>
      </c>
      <c r="B204" s="1" t="s">
        <v>36</v>
      </c>
      <c r="C204" s="1" t="s">
        <v>33</v>
      </c>
      <c r="D204" s="1">
        <v>2022</v>
      </c>
      <c r="E204" s="1" t="s">
        <v>22</v>
      </c>
      <c r="F204" s="1">
        <v>81047535</v>
      </c>
      <c r="G204" s="1">
        <v>39960424</v>
      </c>
      <c r="H204" s="1">
        <v>41087111</v>
      </c>
      <c r="I204" s="1">
        <v>5614810</v>
      </c>
      <c r="J204" s="1">
        <v>179743</v>
      </c>
      <c r="K204" s="1">
        <v>6.93</v>
      </c>
      <c r="L204" s="1">
        <v>18.7</v>
      </c>
      <c r="M204" s="1">
        <v>26.34</v>
      </c>
      <c r="N204" s="1">
        <v>8.24</v>
      </c>
      <c r="O204" s="1">
        <v>31.33</v>
      </c>
      <c r="P204" s="1">
        <v>35.049999999999997</v>
      </c>
      <c r="Q204" s="1">
        <v>6538.68</v>
      </c>
      <c r="R204" s="1">
        <v>79</v>
      </c>
      <c r="S204" s="1">
        <v>77.7</v>
      </c>
    </row>
    <row r="205" spans="1:19" ht="15">
      <c r="A205" s="1">
        <v>12</v>
      </c>
      <c r="B205" s="1" t="s">
        <v>36</v>
      </c>
      <c r="C205" s="1" t="s">
        <v>33</v>
      </c>
      <c r="D205" s="1">
        <v>2022</v>
      </c>
      <c r="E205" s="1" t="s">
        <v>23</v>
      </c>
      <c r="F205" s="1">
        <v>185445538</v>
      </c>
      <c r="G205" s="1">
        <v>93148230</v>
      </c>
      <c r="H205" s="1">
        <v>92297308</v>
      </c>
      <c r="I205" s="1">
        <v>10048460</v>
      </c>
      <c r="J205" s="1">
        <v>536942</v>
      </c>
      <c r="K205" s="1">
        <v>5.42</v>
      </c>
      <c r="L205" s="1">
        <v>10.69</v>
      </c>
      <c r="M205" s="1">
        <v>33.89</v>
      </c>
      <c r="N205" s="1">
        <v>5.46</v>
      </c>
      <c r="O205" s="1">
        <v>24.16</v>
      </c>
      <c r="P205" s="1">
        <v>19.57</v>
      </c>
      <c r="Q205" s="1">
        <v>10404.43</v>
      </c>
      <c r="R205" s="1">
        <v>71</v>
      </c>
      <c r="S205" s="1">
        <v>76.7</v>
      </c>
    </row>
    <row r="206" spans="1:19" ht="15">
      <c r="A206" s="1">
        <v>12</v>
      </c>
      <c r="B206" s="1" t="s">
        <v>36</v>
      </c>
      <c r="C206" s="1" t="s">
        <v>33</v>
      </c>
      <c r="D206" s="1">
        <v>2023</v>
      </c>
      <c r="E206" s="1" t="s">
        <v>21</v>
      </c>
      <c r="F206" s="1">
        <v>181626592</v>
      </c>
      <c r="G206" s="1">
        <v>93381030</v>
      </c>
      <c r="H206" s="1">
        <v>88245562</v>
      </c>
      <c r="I206" s="1">
        <v>11446436</v>
      </c>
      <c r="J206" s="1">
        <v>855838</v>
      </c>
      <c r="K206" s="1">
        <v>6.3</v>
      </c>
      <c r="L206" s="1">
        <v>12.02</v>
      </c>
      <c r="M206" s="1">
        <v>17.73</v>
      </c>
      <c r="N206" s="1">
        <v>13.59</v>
      </c>
      <c r="O206" s="1">
        <v>33.82</v>
      </c>
      <c r="P206" s="1">
        <v>38.340000000000003</v>
      </c>
      <c r="Q206" s="1">
        <v>10259.93</v>
      </c>
      <c r="R206" s="1">
        <v>82</v>
      </c>
      <c r="S206" s="1">
        <v>69.599999999999994</v>
      </c>
    </row>
    <row r="207" spans="1:19" ht="15">
      <c r="A207" s="1">
        <v>12</v>
      </c>
      <c r="B207" s="1" t="s">
        <v>36</v>
      </c>
      <c r="C207" s="1" t="s">
        <v>33</v>
      </c>
      <c r="D207" s="1">
        <v>2023</v>
      </c>
      <c r="E207" s="1" t="s">
        <v>22</v>
      </c>
      <c r="F207" s="1">
        <v>43008491</v>
      </c>
      <c r="G207" s="1">
        <v>22345336</v>
      </c>
      <c r="H207" s="1">
        <v>20663155</v>
      </c>
      <c r="I207" s="1">
        <v>3662147</v>
      </c>
      <c r="J207" s="1">
        <v>255234</v>
      </c>
      <c r="K207" s="1">
        <v>8.51</v>
      </c>
      <c r="L207" s="1">
        <v>11.66</v>
      </c>
      <c r="M207" s="1">
        <v>33.840000000000003</v>
      </c>
      <c r="N207" s="1">
        <v>10.5</v>
      </c>
      <c r="O207" s="1">
        <v>23.07</v>
      </c>
      <c r="P207" s="1">
        <v>29.34</v>
      </c>
      <c r="Q207" s="1">
        <v>11026.96</v>
      </c>
      <c r="R207" s="1">
        <v>65</v>
      </c>
      <c r="S207" s="1">
        <v>82.8</v>
      </c>
    </row>
    <row r="208" spans="1:19" ht="15">
      <c r="A208" s="1">
        <v>12</v>
      </c>
      <c r="B208" s="1" t="s">
        <v>36</v>
      </c>
      <c r="C208" s="1" t="s">
        <v>33</v>
      </c>
      <c r="D208" s="1">
        <v>2023</v>
      </c>
      <c r="E208" s="1" t="s">
        <v>23</v>
      </c>
      <c r="F208" s="1">
        <v>109352037</v>
      </c>
      <c r="G208" s="1">
        <v>56546077</v>
      </c>
      <c r="H208" s="1">
        <v>52805960</v>
      </c>
      <c r="I208" s="1">
        <v>8185939</v>
      </c>
      <c r="J208" s="1">
        <v>641402</v>
      </c>
      <c r="K208" s="1">
        <v>7.49</v>
      </c>
      <c r="L208" s="1">
        <v>25.35</v>
      </c>
      <c r="M208" s="1">
        <v>16.37</v>
      </c>
      <c r="N208" s="1">
        <v>5.98</v>
      </c>
      <c r="O208" s="1">
        <v>20.54</v>
      </c>
      <c r="P208" s="1">
        <v>28.04</v>
      </c>
      <c r="Q208" s="1">
        <v>9182.0499999999993</v>
      </c>
      <c r="R208" s="1">
        <v>58</v>
      </c>
      <c r="S208" s="1">
        <v>64.599999999999994</v>
      </c>
    </row>
    <row r="209" spans="1:19" ht="15">
      <c r="A209" s="1">
        <v>12</v>
      </c>
      <c r="B209" s="1" t="s">
        <v>36</v>
      </c>
      <c r="C209" s="1" t="s">
        <v>33</v>
      </c>
      <c r="D209" s="1">
        <v>2024</v>
      </c>
      <c r="E209" s="1" t="s">
        <v>21</v>
      </c>
      <c r="F209" s="1">
        <v>27021611</v>
      </c>
      <c r="G209" s="1">
        <v>14022946</v>
      </c>
      <c r="H209" s="1">
        <v>12998665</v>
      </c>
      <c r="I209" s="1">
        <v>2441409</v>
      </c>
      <c r="J209" s="1">
        <v>112703</v>
      </c>
      <c r="K209" s="1">
        <v>9.0399999999999991</v>
      </c>
      <c r="L209" s="1">
        <v>28.85</v>
      </c>
      <c r="M209" s="1">
        <v>21.93</v>
      </c>
      <c r="N209" s="1">
        <v>7.54</v>
      </c>
      <c r="O209" s="1">
        <v>26.9</v>
      </c>
      <c r="P209" s="1">
        <v>21.8</v>
      </c>
      <c r="Q209" s="1">
        <v>8493.69</v>
      </c>
      <c r="R209" s="1">
        <v>46</v>
      </c>
      <c r="S209" s="1">
        <v>73.3</v>
      </c>
    </row>
    <row r="210" spans="1:19" ht="15">
      <c r="A210" s="1">
        <v>12</v>
      </c>
      <c r="B210" s="1" t="s">
        <v>36</v>
      </c>
      <c r="C210" s="1" t="s">
        <v>33</v>
      </c>
      <c r="D210" s="1">
        <v>2024</v>
      </c>
      <c r="E210" s="1" t="s">
        <v>22</v>
      </c>
      <c r="F210" s="1">
        <v>75398550</v>
      </c>
      <c r="G210" s="1">
        <v>38062292</v>
      </c>
      <c r="H210" s="1">
        <v>37336258</v>
      </c>
      <c r="I210" s="1">
        <v>5671895</v>
      </c>
      <c r="J210" s="1">
        <v>298537</v>
      </c>
      <c r="K210" s="1">
        <v>7.52</v>
      </c>
      <c r="L210" s="1">
        <v>17.05</v>
      </c>
      <c r="M210" s="1">
        <v>15.84</v>
      </c>
      <c r="N210" s="1">
        <v>5.94</v>
      </c>
      <c r="O210" s="1">
        <v>33.979999999999997</v>
      </c>
      <c r="P210" s="1">
        <v>15.4</v>
      </c>
      <c r="Q210" s="1">
        <v>8934.33</v>
      </c>
      <c r="R210" s="1">
        <v>42</v>
      </c>
      <c r="S210" s="1">
        <v>78.5</v>
      </c>
    </row>
    <row r="211" spans="1:19" ht="15">
      <c r="A211" s="1">
        <v>12</v>
      </c>
      <c r="B211" s="1" t="s">
        <v>36</v>
      </c>
      <c r="C211" s="1" t="s">
        <v>33</v>
      </c>
      <c r="D211" s="1">
        <v>2024</v>
      </c>
      <c r="E211" s="1" t="s">
        <v>23</v>
      </c>
      <c r="F211" s="1">
        <v>151051937</v>
      </c>
      <c r="G211" s="1">
        <v>76381787</v>
      </c>
      <c r="H211" s="1">
        <v>74670150</v>
      </c>
      <c r="I211" s="1">
        <v>14745353</v>
      </c>
      <c r="J211" s="1">
        <v>724322</v>
      </c>
      <c r="K211" s="1">
        <v>9.76</v>
      </c>
      <c r="L211" s="1">
        <v>19.18</v>
      </c>
      <c r="M211" s="1">
        <v>17.23</v>
      </c>
      <c r="N211" s="1">
        <v>5.0999999999999996</v>
      </c>
      <c r="O211" s="1">
        <v>28.76</v>
      </c>
      <c r="P211" s="1">
        <v>27.47</v>
      </c>
      <c r="Q211" s="1">
        <v>5834.85</v>
      </c>
      <c r="R211" s="1">
        <v>58</v>
      </c>
      <c r="S211" s="1">
        <v>63.7</v>
      </c>
    </row>
    <row r="212" spans="1:19" ht="15">
      <c r="A212" s="1">
        <v>12</v>
      </c>
      <c r="B212" s="1" t="s">
        <v>36</v>
      </c>
      <c r="C212" s="1" t="s">
        <v>33</v>
      </c>
      <c r="D212" s="1">
        <v>2025</v>
      </c>
      <c r="E212" s="1" t="s">
        <v>21</v>
      </c>
      <c r="F212" s="1">
        <v>8231704</v>
      </c>
      <c r="G212" s="1">
        <v>4041157</v>
      </c>
      <c r="H212" s="1">
        <v>4190547</v>
      </c>
      <c r="I212" s="1">
        <v>580085</v>
      </c>
      <c r="J212" s="1">
        <v>23357</v>
      </c>
      <c r="K212" s="1">
        <v>7.05</v>
      </c>
      <c r="L212" s="1">
        <v>17.28</v>
      </c>
      <c r="M212" s="1">
        <v>17.18</v>
      </c>
      <c r="N212" s="1">
        <v>6.08</v>
      </c>
      <c r="O212" s="1">
        <v>37.53</v>
      </c>
      <c r="P212" s="1">
        <v>30.2</v>
      </c>
      <c r="Q212" s="1">
        <v>11808.91</v>
      </c>
      <c r="R212" s="1">
        <v>72</v>
      </c>
      <c r="S212" s="1">
        <v>74.099999999999994</v>
      </c>
    </row>
    <row r="213" spans="1:19" ht="15">
      <c r="A213" s="1">
        <v>12</v>
      </c>
      <c r="B213" s="1" t="s">
        <v>36</v>
      </c>
      <c r="C213" s="1" t="s">
        <v>33</v>
      </c>
      <c r="D213" s="1">
        <v>2025</v>
      </c>
      <c r="E213" s="1" t="s">
        <v>22</v>
      </c>
      <c r="F213" s="1">
        <v>121067724</v>
      </c>
      <c r="G213" s="1">
        <v>59874734</v>
      </c>
      <c r="H213" s="1">
        <v>61192990</v>
      </c>
      <c r="I213" s="1">
        <v>10926426</v>
      </c>
      <c r="J213" s="1">
        <v>580509</v>
      </c>
      <c r="K213" s="1">
        <v>9.0299999999999994</v>
      </c>
      <c r="L213" s="1">
        <v>26.47</v>
      </c>
      <c r="M213" s="1">
        <v>21.68</v>
      </c>
      <c r="N213" s="1">
        <v>12.39</v>
      </c>
      <c r="O213" s="1">
        <v>33.25</v>
      </c>
      <c r="P213" s="1">
        <v>24.92</v>
      </c>
      <c r="Q213" s="1">
        <v>1547.29</v>
      </c>
      <c r="R213" s="1">
        <v>69</v>
      </c>
      <c r="S213" s="1">
        <v>70.099999999999994</v>
      </c>
    </row>
    <row r="214" spans="1:19" ht="15">
      <c r="A214" s="1">
        <v>12</v>
      </c>
      <c r="B214" s="1" t="s">
        <v>36</v>
      </c>
      <c r="C214" s="1" t="s">
        <v>33</v>
      </c>
      <c r="D214" s="1">
        <v>2025</v>
      </c>
      <c r="E214" s="1" t="s">
        <v>23</v>
      </c>
      <c r="F214" s="1">
        <v>47305492</v>
      </c>
      <c r="G214" s="1">
        <v>23605150</v>
      </c>
      <c r="H214" s="1">
        <v>23700342</v>
      </c>
      <c r="I214" s="1">
        <v>2873634</v>
      </c>
      <c r="J214" s="1">
        <v>123727</v>
      </c>
      <c r="K214" s="1">
        <v>6.07</v>
      </c>
      <c r="L214" s="1">
        <v>16.48</v>
      </c>
      <c r="M214" s="1">
        <v>23.69</v>
      </c>
      <c r="N214" s="1">
        <v>5.89</v>
      </c>
      <c r="O214" s="1">
        <v>28.14</v>
      </c>
      <c r="P214" s="1">
        <v>32.049999999999997</v>
      </c>
      <c r="Q214" s="1">
        <v>10118.58</v>
      </c>
      <c r="R214" s="1">
        <v>75</v>
      </c>
      <c r="S214" s="1">
        <v>81.8</v>
      </c>
    </row>
    <row r="215" spans="1:19" ht="15">
      <c r="A215" s="1">
        <v>12</v>
      </c>
      <c r="B215" s="1" t="s">
        <v>36</v>
      </c>
      <c r="C215" s="1" t="s">
        <v>33</v>
      </c>
      <c r="D215" s="1">
        <v>2026</v>
      </c>
      <c r="E215" s="1" t="s">
        <v>21</v>
      </c>
      <c r="F215" s="1">
        <v>103686880</v>
      </c>
      <c r="G215" s="1">
        <v>52820178</v>
      </c>
      <c r="H215" s="1">
        <v>50866702</v>
      </c>
      <c r="I215" s="1">
        <v>9279501</v>
      </c>
      <c r="J215" s="1">
        <v>341084</v>
      </c>
      <c r="K215" s="1">
        <v>8.9499999999999993</v>
      </c>
      <c r="L215" s="1">
        <v>20.11</v>
      </c>
      <c r="M215" s="1">
        <v>10.89</v>
      </c>
      <c r="N215" s="1">
        <v>11.69</v>
      </c>
      <c r="O215" s="1">
        <v>26.5</v>
      </c>
      <c r="P215" s="1">
        <v>37</v>
      </c>
      <c r="Q215" s="1">
        <v>2004.09</v>
      </c>
      <c r="R215" s="1">
        <v>72</v>
      </c>
      <c r="S215" s="1">
        <v>69.099999999999994</v>
      </c>
    </row>
    <row r="216" spans="1:19" ht="15">
      <c r="A216" s="1">
        <v>12</v>
      </c>
      <c r="B216" s="1" t="s">
        <v>36</v>
      </c>
      <c r="C216" s="1" t="s">
        <v>33</v>
      </c>
      <c r="D216" s="1">
        <v>2026</v>
      </c>
      <c r="E216" s="1" t="s">
        <v>22</v>
      </c>
      <c r="F216" s="1">
        <v>15811281</v>
      </c>
      <c r="G216" s="1">
        <v>7689491</v>
      </c>
      <c r="H216" s="1">
        <v>8121790</v>
      </c>
      <c r="I216" s="1">
        <v>1225329</v>
      </c>
      <c r="J216" s="1">
        <v>63324</v>
      </c>
      <c r="K216" s="1">
        <v>7.75</v>
      </c>
      <c r="L216" s="1">
        <v>10.47</v>
      </c>
      <c r="M216" s="1">
        <v>16.09</v>
      </c>
      <c r="N216" s="1">
        <v>6.53</v>
      </c>
      <c r="O216" s="1">
        <v>23.57</v>
      </c>
      <c r="P216" s="1">
        <v>39.659999999999997</v>
      </c>
      <c r="Q216" s="1">
        <v>7173.07</v>
      </c>
      <c r="R216" s="1">
        <v>48</v>
      </c>
      <c r="S216" s="1">
        <v>68.900000000000006</v>
      </c>
    </row>
    <row r="217" spans="1:19" ht="15">
      <c r="A217" s="1">
        <v>12</v>
      </c>
      <c r="B217" s="1" t="s">
        <v>36</v>
      </c>
      <c r="C217" s="1" t="s">
        <v>33</v>
      </c>
      <c r="D217" s="1">
        <v>2026</v>
      </c>
      <c r="E217" s="1" t="s">
        <v>23</v>
      </c>
      <c r="F217" s="1">
        <v>155951095</v>
      </c>
      <c r="G217" s="1">
        <v>75984907</v>
      </c>
      <c r="H217" s="1">
        <v>79966188</v>
      </c>
      <c r="I217" s="1">
        <v>10414916</v>
      </c>
      <c r="J217" s="1">
        <v>674793</v>
      </c>
      <c r="K217" s="1">
        <v>6.68</v>
      </c>
      <c r="L217" s="1">
        <v>18.260000000000002</v>
      </c>
      <c r="M217" s="1">
        <v>10.25</v>
      </c>
      <c r="N217" s="1">
        <v>10.56</v>
      </c>
      <c r="O217" s="1">
        <v>30.23</v>
      </c>
      <c r="P217" s="1">
        <v>32.03</v>
      </c>
      <c r="Q217" s="1">
        <v>821.07</v>
      </c>
      <c r="R217" s="1">
        <v>78</v>
      </c>
      <c r="S217" s="1">
        <v>70.599999999999994</v>
      </c>
    </row>
    <row r="218" spans="1:19" ht="15">
      <c r="A218" s="1">
        <v>13</v>
      </c>
      <c r="B218" s="1" t="s">
        <v>37</v>
      </c>
      <c r="C218" s="1" t="s">
        <v>33</v>
      </c>
      <c r="D218" s="1">
        <v>2021</v>
      </c>
      <c r="E218" s="1" t="s">
        <v>21</v>
      </c>
      <c r="F218" s="1">
        <v>177842875</v>
      </c>
      <c r="G218" s="1">
        <v>87932466</v>
      </c>
      <c r="H218" s="1">
        <v>89910409</v>
      </c>
      <c r="I218" s="1">
        <v>11462045</v>
      </c>
      <c r="J218" s="1">
        <v>830870</v>
      </c>
      <c r="K218" s="1">
        <v>6.45</v>
      </c>
      <c r="L218" s="1">
        <v>15.3</v>
      </c>
      <c r="M218" s="1">
        <v>17.5</v>
      </c>
      <c r="N218" s="1">
        <v>13.91</v>
      </c>
      <c r="O218" s="1">
        <v>29.4</v>
      </c>
      <c r="P218" s="1">
        <v>16.2</v>
      </c>
      <c r="Q218" s="1">
        <v>1899.87</v>
      </c>
      <c r="R218" s="1">
        <v>50</v>
      </c>
      <c r="S218" s="1">
        <v>67.5</v>
      </c>
    </row>
    <row r="219" spans="1:19" ht="15">
      <c r="A219" s="1">
        <v>13</v>
      </c>
      <c r="B219" s="1" t="s">
        <v>37</v>
      </c>
      <c r="C219" s="1" t="s">
        <v>33</v>
      </c>
      <c r="D219" s="1">
        <v>2021</v>
      </c>
      <c r="E219" s="1" t="s">
        <v>22</v>
      </c>
      <c r="F219" s="1">
        <v>151002157</v>
      </c>
      <c r="G219" s="1">
        <v>74320273</v>
      </c>
      <c r="H219" s="1">
        <v>76681884</v>
      </c>
      <c r="I219" s="1">
        <v>9779284</v>
      </c>
      <c r="J219" s="1">
        <v>769004</v>
      </c>
      <c r="K219" s="1">
        <v>6.48</v>
      </c>
      <c r="L219" s="1">
        <v>19.72</v>
      </c>
      <c r="M219" s="1">
        <v>32.4</v>
      </c>
      <c r="N219" s="1">
        <v>12.95</v>
      </c>
      <c r="O219" s="1">
        <v>35.75</v>
      </c>
      <c r="P219" s="1">
        <v>34.43</v>
      </c>
      <c r="Q219" s="1">
        <v>4018.55</v>
      </c>
      <c r="R219" s="1">
        <v>64</v>
      </c>
      <c r="S219" s="1">
        <v>71.3</v>
      </c>
    </row>
    <row r="220" spans="1:19" ht="15">
      <c r="A220" s="1">
        <v>13</v>
      </c>
      <c r="B220" s="1" t="s">
        <v>37</v>
      </c>
      <c r="C220" s="1" t="s">
        <v>33</v>
      </c>
      <c r="D220" s="1">
        <v>2021</v>
      </c>
      <c r="E220" s="1" t="s">
        <v>23</v>
      </c>
      <c r="F220" s="1">
        <v>165063401</v>
      </c>
      <c r="G220" s="1">
        <v>80381297</v>
      </c>
      <c r="H220" s="1">
        <v>84682104</v>
      </c>
      <c r="I220" s="1">
        <v>10338078</v>
      </c>
      <c r="J220" s="1">
        <v>583766</v>
      </c>
      <c r="K220" s="1">
        <v>6.26</v>
      </c>
      <c r="L220" s="1">
        <v>19.63</v>
      </c>
      <c r="M220" s="1">
        <v>34.67</v>
      </c>
      <c r="N220" s="1">
        <v>11.19</v>
      </c>
      <c r="O220" s="1">
        <v>32.43</v>
      </c>
      <c r="P220" s="1">
        <v>16.309999999999999</v>
      </c>
      <c r="Q220" s="1">
        <v>1277.0899999999999</v>
      </c>
      <c r="R220" s="1">
        <v>71</v>
      </c>
      <c r="S220" s="1">
        <v>70.3</v>
      </c>
    </row>
    <row r="221" spans="1:19" ht="15">
      <c r="A221" s="1">
        <v>13</v>
      </c>
      <c r="B221" s="1" t="s">
        <v>37</v>
      </c>
      <c r="C221" s="1" t="s">
        <v>33</v>
      </c>
      <c r="D221" s="1">
        <v>2022</v>
      </c>
      <c r="E221" s="1" t="s">
        <v>21</v>
      </c>
      <c r="F221" s="1">
        <v>61135473</v>
      </c>
      <c r="G221" s="1">
        <v>31617323</v>
      </c>
      <c r="H221" s="1">
        <v>29518150</v>
      </c>
      <c r="I221" s="1">
        <v>3215642</v>
      </c>
      <c r="J221" s="1">
        <v>212746</v>
      </c>
      <c r="K221" s="1">
        <v>5.26</v>
      </c>
      <c r="L221" s="1">
        <v>22.43</v>
      </c>
      <c r="M221" s="1">
        <v>16.100000000000001</v>
      </c>
      <c r="N221" s="1">
        <v>14.17</v>
      </c>
      <c r="O221" s="1">
        <v>27.62</v>
      </c>
      <c r="P221" s="1">
        <v>35.9</v>
      </c>
      <c r="Q221" s="1">
        <v>3646.54</v>
      </c>
      <c r="R221" s="1">
        <v>56</v>
      </c>
      <c r="S221" s="1">
        <v>77.900000000000006</v>
      </c>
    </row>
    <row r="222" spans="1:19" ht="15">
      <c r="A222" s="1">
        <v>13</v>
      </c>
      <c r="B222" s="1" t="s">
        <v>37</v>
      </c>
      <c r="C222" s="1" t="s">
        <v>33</v>
      </c>
      <c r="D222" s="1">
        <v>2022</v>
      </c>
      <c r="E222" s="1" t="s">
        <v>22</v>
      </c>
      <c r="F222" s="1">
        <v>113781575</v>
      </c>
      <c r="G222" s="1">
        <v>58545765</v>
      </c>
      <c r="H222" s="1">
        <v>55235810</v>
      </c>
      <c r="I222" s="1">
        <v>7725018</v>
      </c>
      <c r="J222" s="1">
        <v>313344</v>
      </c>
      <c r="K222" s="1">
        <v>6.79</v>
      </c>
      <c r="L222" s="1">
        <v>23.09</v>
      </c>
      <c r="M222" s="1">
        <v>26.01</v>
      </c>
      <c r="N222" s="1">
        <v>5.47</v>
      </c>
      <c r="O222" s="1">
        <v>32.04</v>
      </c>
      <c r="P222" s="1">
        <v>38.56</v>
      </c>
      <c r="Q222" s="1">
        <v>3334.39</v>
      </c>
      <c r="R222" s="1">
        <v>68</v>
      </c>
      <c r="S222" s="1">
        <v>81.099999999999994</v>
      </c>
    </row>
    <row r="223" spans="1:19" ht="15">
      <c r="A223" s="1">
        <v>13</v>
      </c>
      <c r="B223" s="1" t="s">
        <v>37</v>
      </c>
      <c r="C223" s="1" t="s">
        <v>33</v>
      </c>
      <c r="D223" s="1">
        <v>2022</v>
      </c>
      <c r="E223" s="1" t="s">
        <v>23</v>
      </c>
      <c r="F223" s="1">
        <v>125823781</v>
      </c>
      <c r="G223" s="1">
        <v>62333244</v>
      </c>
      <c r="H223" s="1">
        <v>63490537</v>
      </c>
      <c r="I223" s="1">
        <v>11442967</v>
      </c>
      <c r="J223" s="1">
        <v>856166</v>
      </c>
      <c r="K223" s="1">
        <v>9.09</v>
      </c>
      <c r="L223" s="1">
        <v>10.97</v>
      </c>
      <c r="M223" s="1">
        <v>17.329999999999998</v>
      </c>
      <c r="N223" s="1">
        <v>7.44</v>
      </c>
      <c r="O223" s="1">
        <v>38.17</v>
      </c>
      <c r="P223" s="1">
        <v>30.01</v>
      </c>
      <c r="Q223" s="1">
        <v>1920.06</v>
      </c>
      <c r="R223" s="1">
        <v>61</v>
      </c>
      <c r="S223" s="1">
        <v>66.3</v>
      </c>
    </row>
    <row r="224" spans="1:19" ht="15">
      <c r="A224" s="1">
        <v>13</v>
      </c>
      <c r="B224" s="1" t="s">
        <v>37</v>
      </c>
      <c r="C224" s="1" t="s">
        <v>33</v>
      </c>
      <c r="D224" s="1">
        <v>2023</v>
      </c>
      <c r="E224" s="1" t="s">
        <v>21</v>
      </c>
      <c r="F224" s="1">
        <v>76936521</v>
      </c>
      <c r="G224" s="1">
        <v>39990332</v>
      </c>
      <c r="H224" s="1">
        <v>36946189</v>
      </c>
      <c r="I224" s="1">
        <v>7232853</v>
      </c>
      <c r="J224" s="1">
        <v>524695</v>
      </c>
      <c r="K224" s="1">
        <v>9.4</v>
      </c>
      <c r="L224" s="1">
        <v>12.19</v>
      </c>
      <c r="M224" s="1">
        <v>19.54</v>
      </c>
      <c r="N224" s="1">
        <v>9.41</v>
      </c>
      <c r="O224" s="1">
        <v>26.46</v>
      </c>
      <c r="P224" s="1">
        <v>37.15</v>
      </c>
      <c r="Q224" s="1">
        <v>5735.81</v>
      </c>
      <c r="R224" s="1">
        <v>51</v>
      </c>
      <c r="S224" s="1">
        <v>73.400000000000006</v>
      </c>
    </row>
    <row r="225" spans="1:19" ht="15">
      <c r="A225" s="1">
        <v>13</v>
      </c>
      <c r="B225" s="1" t="s">
        <v>37</v>
      </c>
      <c r="C225" s="1" t="s">
        <v>33</v>
      </c>
      <c r="D225" s="1">
        <v>2023</v>
      </c>
      <c r="E225" s="1" t="s">
        <v>22</v>
      </c>
      <c r="F225" s="1">
        <v>153158443</v>
      </c>
      <c r="G225" s="1">
        <v>75982609</v>
      </c>
      <c r="H225" s="1">
        <v>77175834</v>
      </c>
      <c r="I225" s="1">
        <v>8336531</v>
      </c>
      <c r="J225" s="1">
        <v>607053</v>
      </c>
      <c r="K225" s="1">
        <v>5.44</v>
      </c>
      <c r="L225" s="1">
        <v>19.61</v>
      </c>
      <c r="M225" s="1">
        <v>11.82</v>
      </c>
      <c r="N225" s="1">
        <v>9.7799999999999994</v>
      </c>
      <c r="O225" s="1">
        <v>20.9</v>
      </c>
      <c r="P225" s="1">
        <v>22.96</v>
      </c>
      <c r="Q225" s="1">
        <v>10822.79</v>
      </c>
      <c r="R225" s="1">
        <v>48</v>
      </c>
      <c r="S225" s="1">
        <v>67.599999999999994</v>
      </c>
    </row>
    <row r="226" spans="1:19" ht="15">
      <c r="A226" s="1">
        <v>13</v>
      </c>
      <c r="B226" s="1" t="s">
        <v>37</v>
      </c>
      <c r="C226" s="1" t="s">
        <v>33</v>
      </c>
      <c r="D226" s="1">
        <v>2023</v>
      </c>
      <c r="E226" s="1" t="s">
        <v>23</v>
      </c>
      <c r="F226" s="1">
        <v>69437535</v>
      </c>
      <c r="G226" s="1">
        <v>34174201</v>
      </c>
      <c r="H226" s="1">
        <v>35263334</v>
      </c>
      <c r="I226" s="1">
        <v>5450457</v>
      </c>
      <c r="J226" s="1">
        <v>299501</v>
      </c>
      <c r="K226" s="1">
        <v>7.85</v>
      </c>
      <c r="L226" s="1">
        <v>17.63</v>
      </c>
      <c r="M226" s="1">
        <v>31.3</v>
      </c>
      <c r="N226" s="1">
        <v>9.68</v>
      </c>
      <c r="O226" s="1">
        <v>36.75</v>
      </c>
      <c r="P226" s="1">
        <v>25.09</v>
      </c>
      <c r="Q226" s="1">
        <v>4541.12</v>
      </c>
      <c r="R226" s="1">
        <v>63</v>
      </c>
      <c r="S226" s="1">
        <v>61.6</v>
      </c>
    </row>
    <row r="227" spans="1:19" ht="15">
      <c r="A227" s="1">
        <v>13</v>
      </c>
      <c r="B227" s="1" t="s">
        <v>37</v>
      </c>
      <c r="C227" s="1" t="s">
        <v>33</v>
      </c>
      <c r="D227" s="1">
        <v>2024</v>
      </c>
      <c r="E227" s="1" t="s">
        <v>21</v>
      </c>
      <c r="F227" s="1">
        <v>36073987</v>
      </c>
      <c r="G227" s="1">
        <v>18140468</v>
      </c>
      <c r="H227" s="1">
        <v>17933519</v>
      </c>
      <c r="I227" s="1">
        <v>2446361</v>
      </c>
      <c r="J227" s="1">
        <v>91262</v>
      </c>
      <c r="K227" s="1">
        <v>6.78</v>
      </c>
      <c r="L227" s="1">
        <v>20.53</v>
      </c>
      <c r="M227" s="1">
        <v>27.95</v>
      </c>
      <c r="N227" s="1">
        <v>11.3</v>
      </c>
      <c r="O227" s="1">
        <v>20.38</v>
      </c>
      <c r="P227" s="1">
        <v>24.26</v>
      </c>
      <c r="Q227" s="1">
        <v>8225.31</v>
      </c>
      <c r="R227" s="1">
        <v>73</v>
      </c>
      <c r="S227" s="1">
        <v>70.099999999999994</v>
      </c>
    </row>
    <row r="228" spans="1:19" ht="15">
      <c r="A228" s="1">
        <v>13</v>
      </c>
      <c r="B228" s="1" t="s">
        <v>37</v>
      </c>
      <c r="C228" s="1" t="s">
        <v>33</v>
      </c>
      <c r="D228" s="1">
        <v>2024</v>
      </c>
      <c r="E228" s="1" t="s">
        <v>22</v>
      </c>
      <c r="F228" s="1">
        <v>79788915</v>
      </c>
      <c r="G228" s="1">
        <v>40817206</v>
      </c>
      <c r="H228" s="1">
        <v>38971709</v>
      </c>
      <c r="I228" s="1">
        <v>4605644</v>
      </c>
      <c r="J228" s="1">
        <v>177520</v>
      </c>
      <c r="K228" s="1">
        <v>5.77</v>
      </c>
      <c r="L228" s="1">
        <v>25.35</v>
      </c>
      <c r="M228" s="1">
        <v>33</v>
      </c>
      <c r="N228" s="1">
        <v>6.64</v>
      </c>
      <c r="O228" s="1">
        <v>21.17</v>
      </c>
      <c r="P228" s="1">
        <v>35.42</v>
      </c>
      <c r="Q228" s="1">
        <v>7021.27</v>
      </c>
      <c r="R228" s="1">
        <v>43</v>
      </c>
      <c r="S228" s="1">
        <v>61.1</v>
      </c>
    </row>
    <row r="229" spans="1:19" ht="15">
      <c r="A229" s="1">
        <v>13</v>
      </c>
      <c r="B229" s="1" t="s">
        <v>37</v>
      </c>
      <c r="C229" s="1" t="s">
        <v>33</v>
      </c>
      <c r="D229" s="1">
        <v>2024</v>
      </c>
      <c r="E229" s="1" t="s">
        <v>23</v>
      </c>
      <c r="F229" s="1">
        <v>49562221</v>
      </c>
      <c r="G229" s="1">
        <v>24881039</v>
      </c>
      <c r="H229" s="1">
        <v>24681182</v>
      </c>
      <c r="I229" s="1">
        <v>2857522</v>
      </c>
      <c r="J229" s="1">
        <v>214353</v>
      </c>
      <c r="K229" s="1">
        <v>5.77</v>
      </c>
      <c r="L229" s="1">
        <v>28.11</v>
      </c>
      <c r="M229" s="1">
        <v>28.39</v>
      </c>
      <c r="N229" s="1">
        <v>14.84</v>
      </c>
      <c r="O229" s="1">
        <v>26.11</v>
      </c>
      <c r="P229" s="1">
        <v>17.96</v>
      </c>
      <c r="Q229" s="1">
        <v>7896.86</v>
      </c>
      <c r="R229" s="1">
        <v>80</v>
      </c>
      <c r="S229" s="1">
        <v>76</v>
      </c>
    </row>
    <row r="230" spans="1:19" ht="15">
      <c r="A230" s="1">
        <v>13</v>
      </c>
      <c r="B230" s="1" t="s">
        <v>37</v>
      </c>
      <c r="C230" s="1" t="s">
        <v>33</v>
      </c>
      <c r="D230" s="1">
        <v>2025</v>
      </c>
      <c r="E230" s="1" t="s">
        <v>21</v>
      </c>
      <c r="F230" s="1">
        <v>49621704</v>
      </c>
      <c r="G230" s="1">
        <v>23963812</v>
      </c>
      <c r="H230" s="1">
        <v>25657892</v>
      </c>
      <c r="I230" s="1">
        <v>3330654</v>
      </c>
      <c r="J230" s="1">
        <v>209437</v>
      </c>
      <c r="K230" s="1">
        <v>6.71</v>
      </c>
      <c r="L230" s="1">
        <v>28.74</v>
      </c>
      <c r="M230" s="1">
        <v>12.14</v>
      </c>
      <c r="N230" s="1">
        <v>9.52</v>
      </c>
      <c r="O230" s="1">
        <v>38.92</v>
      </c>
      <c r="P230" s="1">
        <v>16.34</v>
      </c>
      <c r="Q230" s="1">
        <v>5737.56</v>
      </c>
      <c r="R230" s="1">
        <v>63</v>
      </c>
      <c r="S230" s="1">
        <v>71</v>
      </c>
    </row>
    <row r="231" spans="1:19" ht="15">
      <c r="A231" s="1">
        <v>13</v>
      </c>
      <c r="B231" s="1" t="s">
        <v>37</v>
      </c>
      <c r="C231" s="1" t="s">
        <v>33</v>
      </c>
      <c r="D231" s="1">
        <v>2025</v>
      </c>
      <c r="E231" s="1" t="s">
        <v>22</v>
      </c>
      <c r="F231" s="1">
        <v>149813825</v>
      </c>
      <c r="G231" s="1">
        <v>77019663</v>
      </c>
      <c r="H231" s="1">
        <v>72794162</v>
      </c>
      <c r="I231" s="1">
        <v>10509795</v>
      </c>
      <c r="J231" s="1">
        <v>476121</v>
      </c>
      <c r="K231" s="1">
        <v>7.02</v>
      </c>
      <c r="L231" s="1">
        <v>10.51</v>
      </c>
      <c r="M231" s="1">
        <v>22.31</v>
      </c>
      <c r="N231" s="1">
        <v>14.8</v>
      </c>
      <c r="O231" s="1">
        <v>38.270000000000003</v>
      </c>
      <c r="P231" s="1">
        <v>15.02</v>
      </c>
      <c r="Q231" s="1">
        <v>866.61</v>
      </c>
      <c r="R231" s="1">
        <v>45</v>
      </c>
      <c r="S231" s="1">
        <v>79.8</v>
      </c>
    </row>
    <row r="232" spans="1:19" ht="15">
      <c r="A232" s="1">
        <v>13</v>
      </c>
      <c r="B232" s="1" t="s">
        <v>37</v>
      </c>
      <c r="C232" s="1" t="s">
        <v>33</v>
      </c>
      <c r="D232" s="1">
        <v>2025</v>
      </c>
      <c r="E232" s="1" t="s">
        <v>23</v>
      </c>
      <c r="F232" s="1">
        <v>12660198</v>
      </c>
      <c r="G232" s="1">
        <v>6261371</v>
      </c>
      <c r="H232" s="1">
        <v>6398827</v>
      </c>
      <c r="I232" s="1">
        <v>807791</v>
      </c>
      <c r="J232" s="1">
        <v>54235</v>
      </c>
      <c r="K232" s="1">
        <v>6.38</v>
      </c>
      <c r="L232" s="1">
        <v>16.760000000000002</v>
      </c>
      <c r="M232" s="1">
        <v>19.57</v>
      </c>
      <c r="N232" s="1">
        <v>11.98</v>
      </c>
      <c r="O232" s="1">
        <v>37.85</v>
      </c>
      <c r="P232" s="1">
        <v>19.440000000000001</v>
      </c>
      <c r="Q232" s="1">
        <v>2840.19</v>
      </c>
      <c r="R232" s="1">
        <v>70</v>
      </c>
      <c r="S232" s="1">
        <v>81.7</v>
      </c>
    </row>
    <row r="233" spans="1:19" ht="15">
      <c r="A233" s="1">
        <v>13</v>
      </c>
      <c r="B233" s="1" t="s">
        <v>37</v>
      </c>
      <c r="C233" s="1" t="s">
        <v>33</v>
      </c>
      <c r="D233" s="1">
        <v>2026</v>
      </c>
      <c r="E233" s="1" t="s">
        <v>21</v>
      </c>
      <c r="F233" s="1">
        <v>40608339</v>
      </c>
      <c r="G233" s="1">
        <v>20400889</v>
      </c>
      <c r="H233" s="1">
        <v>20207450</v>
      </c>
      <c r="I233" s="1">
        <v>3696712</v>
      </c>
      <c r="J233" s="1">
        <v>145917</v>
      </c>
      <c r="K233" s="1">
        <v>9.1</v>
      </c>
      <c r="L233" s="1">
        <v>27.28</v>
      </c>
      <c r="M233" s="1">
        <v>17.46</v>
      </c>
      <c r="N233" s="1">
        <v>11.2</v>
      </c>
      <c r="O233" s="1">
        <v>24.33</v>
      </c>
      <c r="P233" s="1">
        <v>27.82</v>
      </c>
      <c r="Q233" s="1">
        <v>9164.11</v>
      </c>
      <c r="R233" s="1">
        <v>42</v>
      </c>
      <c r="S233" s="1">
        <v>82.2</v>
      </c>
    </row>
    <row r="234" spans="1:19" ht="15">
      <c r="A234" s="1">
        <v>13</v>
      </c>
      <c r="B234" s="1" t="s">
        <v>37</v>
      </c>
      <c r="C234" s="1" t="s">
        <v>33</v>
      </c>
      <c r="D234" s="1">
        <v>2026</v>
      </c>
      <c r="E234" s="1" t="s">
        <v>22</v>
      </c>
      <c r="F234" s="1">
        <v>36129834</v>
      </c>
      <c r="G234" s="1">
        <v>18569213</v>
      </c>
      <c r="H234" s="1">
        <v>17560621</v>
      </c>
      <c r="I234" s="1">
        <v>3077199</v>
      </c>
      <c r="J234" s="1">
        <v>208286</v>
      </c>
      <c r="K234" s="1">
        <v>8.52</v>
      </c>
      <c r="L234" s="1">
        <v>15.68</v>
      </c>
      <c r="M234" s="1">
        <v>12.32</v>
      </c>
      <c r="N234" s="1">
        <v>8.25</v>
      </c>
      <c r="O234" s="1">
        <v>22.65</v>
      </c>
      <c r="P234" s="1">
        <v>23.36</v>
      </c>
      <c r="Q234" s="1">
        <v>9324.3700000000008</v>
      </c>
      <c r="R234" s="1">
        <v>40</v>
      </c>
      <c r="S234" s="1">
        <v>61.7</v>
      </c>
    </row>
    <row r="235" spans="1:19" ht="15">
      <c r="A235" s="1">
        <v>13</v>
      </c>
      <c r="B235" s="1" t="s">
        <v>37</v>
      </c>
      <c r="C235" s="1" t="s">
        <v>33</v>
      </c>
      <c r="D235" s="1">
        <v>2026</v>
      </c>
      <c r="E235" s="1" t="s">
        <v>23</v>
      </c>
      <c r="F235" s="1">
        <v>35097676</v>
      </c>
      <c r="G235" s="1">
        <v>17980869</v>
      </c>
      <c r="H235" s="1">
        <v>17116807</v>
      </c>
      <c r="I235" s="1">
        <v>3391363</v>
      </c>
      <c r="J235" s="1">
        <v>171322</v>
      </c>
      <c r="K235" s="1">
        <v>9.66</v>
      </c>
      <c r="L235" s="1">
        <v>14.3</v>
      </c>
      <c r="M235" s="1">
        <v>32.130000000000003</v>
      </c>
      <c r="N235" s="1">
        <v>5.57</v>
      </c>
      <c r="O235" s="1">
        <v>26.94</v>
      </c>
      <c r="P235" s="1">
        <v>35.130000000000003</v>
      </c>
      <c r="Q235" s="1">
        <v>8910.6</v>
      </c>
      <c r="R235" s="1">
        <v>48</v>
      </c>
      <c r="S235" s="1">
        <v>71.099999999999994</v>
      </c>
    </row>
    <row r="236" spans="1:19" ht="15">
      <c r="A236" s="1">
        <v>14</v>
      </c>
      <c r="B236" s="1" t="s">
        <v>38</v>
      </c>
      <c r="C236" s="1" t="s">
        <v>33</v>
      </c>
      <c r="D236" s="1">
        <v>2021</v>
      </c>
      <c r="E236" s="1" t="s">
        <v>21</v>
      </c>
      <c r="F236" s="1">
        <v>152623185</v>
      </c>
      <c r="G236" s="1">
        <v>77556081</v>
      </c>
      <c r="H236" s="1">
        <v>75067104</v>
      </c>
      <c r="I236" s="1">
        <v>9952003</v>
      </c>
      <c r="J236" s="1">
        <v>729203</v>
      </c>
      <c r="K236" s="1">
        <v>6.52</v>
      </c>
      <c r="L236" s="1">
        <v>25.76</v>
      </c>
      <c r="M236" s="1">
        <v>33.549999999999997</v>
      </c>
      <c r="N236" s="1">
        <v>12.66</v>
      </c>
      <c r="O236" s="1">
        <v>34.57</v>
      </c>
      <c r="P236" s="1">
        <v>19.739999999999998</v>
      </c>
      <c r="Q236" s="1">
        <v>7046.58</v>
      </c>
      <c r="R236" s="1">
        <v>55</v>
      </c>
      <c r="S236" s="1">
        <v>81.099999999999994</v>
      </c>
    </row>
    <row r="237" spans="1:19" ht="15">
      <c r="A237" s="1">
        <v>14</v>
      </c>
      <c r="B237" s="1" t="s">
        <v>38</v>
      </c>
      <c r="C237" s="1" t="s">
        <v>33</v>
      </c>
      <c r="D237" s="1">
        <v>2021</v>
      </c>
      <c r="E237" s="1" t="s">
        <v>22</v>
      </c>
      <c r="F237" s="1">
        <v>16078985</v>
      </c>
      <c r="G237" s="1">
        <v>8231181</v>
      </c>
      <c r="H237" s="1">
        <v>7847804</v>
      </c>
      <c r="I237" s="1">
        <v>1233851</v>
      </c>
      <c r="J237" s="1">
        <v>88396</v>
      </c>
      <c r="K237" s="1">
        <v>7.67</v>
      </c>
      <c r="L237" s="1">
        <v>27.38</v>
      </c>
      <c r="M237" s="1">
        <v>18.940000000000001</v>
      </c>
      <c r="N237" s="1">
        <v>11.73</v>
      </c>
      <c r="O237" s="1">
        <v>22.63</v>
      </c>
      <c r="P237" s="1">
        <v>16.239999999999998</v>
      </c>
      <c r="Q237" s="1">
        <v>9394.92</v>
      </c>
      <c r="R237" s="1">
        <v>53</v>
      </c>
      <c r="S237" s="1">
        <v>69.3</v>
      </c>
    </row>
    <row r="238" spans="1:19" ht="15">
      <c r="A238" s="1">
        <v>14</v>
      </c>
      <c r="B238" s="1" t="s">
        <v>38</v>
      </c>
      <c r="C238" s="1" t="s">
        <v>33</v>
      </c>
      <c r="D238" s="1">
        <v>2021</v>
      </c>
      <c r="E238" s="1" t="s">
        <v>23</v>
      </c>
      <c r="F238" s="1">
        <v>44370953</v>
      </c>
      <c r="G238" s="1">
        <v>22166884</v>
      </c>
      <c r="H238" s="1">
        <v>22204069</v>
      </c>
      <c r="I238" s="1">
        <v>4314031</v>
      </c>
      <c r="J238" s="1">
        <v>297235</v>
      </c>
      <c r="K238" s="1">
        <v>9.7200000000000006</v>
      </c>
      <c r="L238" s="1">
        <v>20.98</v>
      </c>
      <c r="M238" s="1">
        <v>30.22</v>
      </c>
      <c r="N238" s="1">
        <v>7.49</v>
      </c>
      <c r="O238" s="1">
        <v>21.72</v>
      </c>
      <c r="P238" s="1">
        <v>21.37</v>
      </c>
      <c r="Q238" s="1">
        <v>7350.79</v>
      </c>
      <c r="R238" s="1">
        <v>49</v>
      </c>
      <c r="S238" s="1">
        <v>82.7</v>
      </c>
    </row>
    <row r="239" spans="1:19" ht="15">
      <c r="A239" s="1">
        <v>14</v>
      </c>
      <c r="B239" s="1" t="s">
        <v>38</v>
      </c>
      <c r="C239" s="1" t="s">
        <v>33</v>
      </c>
      <c r="D239" s="1">
        <v>2022</v>
      </c>
      <c r="E239" s="1" t="s">
        <v>21</v>
      </c>
      <c r="F239" s="1">
        <v>67899872</v>
      </c>
      <c r="G239" s="1">
        <v>34091913</v>
      </c>
      <c r="H239" s="1">
        <v>33807959</v>
      </c>
      <c r="I239" s="1">
        <v>5324343</v>
      </c>
      <c r="J239" s="1">
        <v>357241</v>
      </c>
      <c r="K239" s="1">
        <v>7.84</v>
      </c>
      <c r="L239" s="1">
        <v>20.3</v>
      </c>
      <c r="M239" s="1">
        <v>14.34</v>
      </c>
      <c r="N239" s="1">
        <v>7.01</v>
      </c>
      <c r="O239" s="1">
        <v>29.07</v>
      </c>
      <c r="P239" s="1">
        <v>21.32</v>
      </c>
      <c r="Q239" s="1">
        <v>2881.87</v>
      </c>
      <c r="R239" s="1">
        <v>45</v>
      </c>
      <c r="S239" s="1">
        <v>78.5</v>
      </c>
    </row>
    <row r="240" spans="1:19" ht="15">
      <c r="A240" s="1">
        <v>14</v>
      </c>
      <c r="B240" s="1" t="s">
        <v>38</v>
      </c>
      <c r="C240" s="1" t="s">
        <v>33</v>
      </c>
      <c r="D240" s="1">
        <v>2022</v>
      </c>
      <c r="E240" s="1" t="s">
        <v>22</v>
      </c>
      <c r="F240" s="1">
        <v>74191179</v>
      </c>
      <c r="G240" s="1">
        <v>38178575</v>
      </c>
      <c r="H240" s="1">
        <v>36012604</v>
      </c>
      <c r="I240" s="1">
        <v>4686513</v>
      </c>
      <c r="J240" s="1">
        <v>186908</v>
      </c>
      <c r="K240" s="1">
        <v>6.32</v>
      </c>
      <c r="L240" s="1">
        <v>10.72</v>
      </c>
      <c r="M240" s="1">
        <v>10.23</v>
      </c>
      <c r="N240" s="1">
        <v>8.67</v>
      </c>
      <c r="O240" s="1">
        <v>23.87</v>
      </c>
      <c r="P240" s="1">
        <v>27.59</v>
      </c>
      <c r="Q240" s="1">
        <v>2011.33</v>
      </c>
      <c r="R240" s="1">
        <v>48</v>
      </c>
      <c r="S240" s="1">
        <v>72.8</v>
      </c>
    </row>
    <row r="241" spans="1:19" ht="15">
      <c r="A241" s="1">
        <v>14</v>
      </c>
      <c r="B241" s="1" t="s">
        <v>38</v>
      </c>
      <c r="C241" s="1" t="s">
        <v>33</v>
      </c>
      <c r="D241" s="1">
        <v>2022</v>
      </c>
      <c r="E241" s="1" t="s">
        <v>23</v>
      </c>
      <c r="F241" s="1">
        <v>125725036</v>
      </c>
      <c r="G241" s="1">
        <v>64944089</v>
      </c>
      <c r="H241" s="1">
        <v>60780947</v>
      </c>
      <c r="I241" s="1">
        <v>11382474</v>
      </c>
      <c r="J241" s="1">
        <v>410687</v>
      </c>
      <c r="K241" s="1">
        <v>9.0500000000000007</v>
      </c>
      <c r="L241" s="1">
        <v>20.94</v>
      </c>
      <c r="M241" s="1">
        <v>19.18</v>
      </c>
      <c r="N241" s="1">
        <v>5.41</v>
      </c>
      <c r="O241" s="1">
        <v>31</v>
      </c>
      <c r="P241" s="1">
        <v>39.39</v>
      </c>
      <c r="Q241" s="1">
        <v>2170.19</v>
      </c>
      <c r="R241" s="1">
        <v>45</v>
      </c>
      <c r="S241" s="1">
        <v>64.599999999999994</v>
      </c>
    </row>
    <row r="242" spans="1:19" ht="15">
      <c r="A242" s="1">
        <v>14</v>
      </c>
      <c r="B242" s="1" t="s">
        <v>38</v>
      </c>
      <c r="C242" s="1" t="s">
        <v>33</v>
      </c>
      <c r="D242" s="1">
        <v>2023</v>
      </c>
      <c r="E242" s="1" t="s">
        <v>21</v>
      </c>
      <c r="F242" s="1">
        <v>1989665</v>
      </c>
      <c r="G242" s="1">
        <v>989240</v>
      </c>
      <c r="H242" s="1">
        <v>1000425</v>
      </c>
      <c r="I242" s="1">
        <v>125770</v>
      </c>
      <c r="J242" s="1">
        <v>8132</v>
      </c>
      <c r="K242" s="1">
        <v>6.32</v>
      </c>
      <c r="L242" s="1">
        <v>15.35</v>
      </c>
      <c r="M242" s="1">
        <v>31.57</v>
      </c>
      <c r="N242" s="1">
        <v>6.28</v>
      </c>
      <c r="O242" s="1">
        <v>23.11</v>
      </c>
      <c r="P242" s="1">
        <v>39.229999999999997</v>
      </c>
      <c r="Q242" s="1">
        <v>1342.85</v>
      </c>
      <c r="R242" s="1">
        <v>73</v>
      </c>
      <c r="S242" s="1">
        <v>61.9</v>
      </c>
    </row>
    <row r="243" spans="1:19" ht="15">
      <c r="A243" s="1">
        <v>14</v>
      </c>
      <c r="B243" s="1" t="s">
        <v>38</v>
      </c>
      <c r="C243" s="1" t="s">
        <v>33</v>
      </c>
      <c r="D243" s="1">
        <v>2023</v>
      </c>
      <c r="E243" s="1" t="s">
        <v>22</v>
      </c>
      <c r="F243" s="1">
        <v>151244964</v>
      </c>
      <c r="G243" s="1">
        <v>73557928</v>
      </c>
      <c r="H243" s="1">
        <v>77687036</v>
      </c>
      <c r="I243" s="1">
        <v>12286456</v>
      </c>
      <c r="J243" s="1">
        <v>875309</v>
      </c>
      <c r="K243" s="1">
        <v>8.1199999999999992</v>
      </c>
      <c r="L243" s="1">
        <v>22.34</v>
      </c>
      <c r="M243" s="1">
        <v>34.909999999999997</v>
      </c>
      <c r="N243" s="1">
        <v>14.86</v>
      </c>
      <c r="O243" s="1">
        <v>22.99</v>
      </c>
      <c r="P243" s="1">
        <v>26.66</v>
      </c>
      <c r="Q243" s="1">
        <v>5897.82</v>
      </c>
      <c r="R243" s="1">
        <v>61</v>
      </c>
      <c r="S243" s="1">
        <v>75.2</v>
      </c>
    </row>
    <row r="244" spans="1:19" ht="15">
      <c r="A244" s="1">
        <v>14</v>
      </c>
      <c r="B244" s="1" t="s">
        <v>38</v>
      </c>
      <c r="C244" s="1" t="s">
        <v>33</v>
      </c>
      <c r="D244" s="1">
        <v>2023</v>
      </c>
      <c r="E244" s="1" t="s">
        <v>23</v>
      </c>
      <c r="F244" s="1">
        <v>38141745</v>
      </c>
      <c r="G244" s="1">
        <v>19635252</v>
      </c>
      <c r="H244" s="1">
        <v>18506493</v>
      </c>
      <c r="I244" s="1">
        <v>3317024</v>
      </c>
      <c r="J244" s="1">
        <v>230352</v>
      </c>
      <c r="K244" s="1">
        <v>8.6999999999999993</v>
      </c>
      <c r="L244" s="1">
        <v>15.22</v>
      </c>
      <c r="M244" s="1">
        <v>24.15</v>
      </c>
      <c r="N244" s="1">
        <v>6.77</v>
      </c>
      <c r="O244" s="1">
        <v>35.26</v>
      </c>
      <c r="P244" s="1">
        <v>38.26</v>
      </c>
      <c r="Q244" s="1">
        <v>6227.09</v>
      </c>
      <c r="R244" s="1">
        <v>54</v>
      </c>
      <c r="S244" s="1">
        <v>77</v>
      </c>
    </row>
    <row r="245" spans="1:19" ht="15">
      <c r="A245" s="1">
        <v>14</v>
      </c>
      <c r="B245" s="1" t="s">
        <v>38</v>
      </c>
      <c r="C245" s="1" t="s">
        <v>33</v>
      </c>
      <c r="D245" s="1">
        <v>2024</v>
      </c>
      <c r="E245" s="1" t="s">
        <v>21</v>
      </c>
      <c r="F245" s="1">
        <v>104082274</v>
      </c>
      <c r="G245" s="1">
        <v>53680158</v>
      </c>
      <c r="H245" s="1">
        <v>50402116</v>
      </c>
      <c r="I245" s="1">
        <v>5683067</v>
      </c>
      <c r="J245" s="1">
        <v>384616</v>
      </c>
      <c r="K245" s="1">
        <v>5.46</v>
      </c>
      <c r="L245" s="1">
        <v>27.91</v>
      </c>
      <c r="M245" s="1">
        <v>15.21</v>
      </c>
      <c r="N245" s="1">
        <v>7.95</v>
      </c>
      <c r="O245" s="1">
        <v>29.41</v>
      </c>
      <c r="P245" s="1">
        <v>29.88</v>
      </c>
      <c r="Q245" s="1">
        <v>5766.2</v>
      </c>
      <c r="R245" s="1">
        <v>73</v>
      </c>
      <c r="S245" s="1">
        <v>68.900000000000006</v>
      </c>
    </row>
    <row r="246" spans="1:19" ht="15">
      <c r="A246" s="1">
        <v>14</v>
      </c>
      <c r="B246" s="1" t="s">
        <v>38</v>
      </c>
      <c r="C246" s="1" t="s">
        <v>33</v>
      </c>
      <c r="D246" s="1">
        <v>2024</v>
      </c>
      <c r="E246" s="1" t="s">
        <v>22</v>
      </c>
      <c r="F246" s="1">
        <v>115077773</v>
      </c>
      <c r="G246" s="1">
        <v>57178715</v>
      </c>
      <c r="H246" s="1">
        <v>57899058</v>
      </c>
      <c r="I246" s="1">
        <v>7541336</v>
      </c>
      <c r="J246" s="1">
        <v>472789</v>
      </c>
      <c r="K246" s="1">
        <v>6.55</v>
      </c>
      <c r="L246" s="1">
        <v>28.76</v>
      </c>
      <c r="M246" s="1">
        <v>34.64</v>
      </c>
      <c r="N246" s="1">
        <v>8.82</v>
      </c>
      <c r="O246" s="1">
        <v>20.9</v>
      </c>
      <c r="P246" s="1">
        <v>30.86</v>
      </c>
      <c r="Q246" s="1">
        <v>11465.43</v>
      </c>
      <c r="R246" s="1">
        <v>42</v>
      </c>
      <c r="S246" s="1">
        <v>75.8</v>
      </c>
    </row>
    <row r="247" spans="1:19" ht="15">
      <c r="A247" s="1">
        <v>14</v>
      </c>
      <c r="B247" s="1" t="s">
        <v>38</v>
      </c>
      <c r="C247" s="1" t="s">
        <v>33</v>
      </c>
      <c r="D247" s="1">
        <v>2024</v>
      </c>
      <c r="E247" s="1" t="s">
        <v>23</v>
      </c>
      <c r="F247" s="1">
        <v>190616010</v>
      </c>
      <c r="G247" s="1">
        <v>94351656</v>
      </c>
      <c r="H247" s="1">
        <v>96264354</v>
      </c>
      <c r="I247" s="1">
        <v>10323954</v>
      </c>
      <c r="J247" s="1">
        <v>548154</v>
      </c>
      <c r="K247" s="1">
        <v>5.42</v>
      </c>
      <c r="L247" s="1">
        <v>23.1</v>
      </c>
      <c r="M247" s="1">
        <v>28.07</v>
      </c>
      <c r="N247" s="1">
        <v>11.62</v>
      </c>
      <c r="O247" s="1">
        <v>35.729999999999997</v>
      </c>
      <c r="P247" s="1">
        <v>17.82</v>
      </c>
      <c r="Q247" s="1">
        <v>6453.67</v>
      </c>
      <c r="R247" s="1">
        <v>61</v>
      </c>
      <c r="S247" s="1">
        <v>71.5</v>
      </c>
    </row>
    <row r="248" spans="1:19" ht="15">
      <c r="A248" s="1">
        <v>14</v>
      </c>
      <c r="B248" s="1" t="s">
        <v>38</v>
      </c>
      <c r="C248" s="1" t="s">
        <v>33</v>
      </c>
      <c r="D248" s="1">
        <v>2025</v>
      </c>
      <c r="E248" s="1" t="s">
        <v>21</v>
      </c>
      <c r="F248" s="1">
        <v>144483845</v>
      </c>
      <c r="G248" s="1">
        <v>72846896</v>
      </c>
      <c r="H248" s="1">
        <v>71636949</v>
      </c>
      <c r="I248" s="1">
        <v>7994343</v>
      </c>
      <c r="J248" s="1">
        <v>244086</v>
      </c>
      <c r="K248" s="1">
        <v>5.53</v>
      </c>
      <c r="L248" s="1">
        <v>18.73</v>
      </c>
      <c r="M248" s="1">
        <v>24.71</v>
      </c>
      <c r="N248" s="1">
        <v>9.24</v>
      </c>
      <c r="O248" s="1">
        <v>30.29</v>
      </c>
      <c r="P248" s="1">
        <v>25.02</v>
      </c>
      <c r="Q248" s="1">
        <v>9846.68</v>
      </c>
      <c r="R248" s="1">
        <v>60</v>
      </c>
      <c r="S248" s="1">
        <v>78.599999999999994</v>
      </c>
    </row>
    <row r="249" spans="1:19" ht="15">
      <c r="A249" s="1">
        <v>14</v>
      </c>
      <c r="B249" s="1" t="s">
        <v>38</v>
      </c>
      <c r="C249" s="1" t="s">
        <v>33</v>
      </c>
      <c r="D249" s="1">
        <v>2025</v>
      </c>
      <c r="E249" s="1" t="s">
        <v>22</v>
      </c>
      <c r="F249" s="1">
        <v>40862371</v>
      </c>
      <c r="G249" s="1">
        <v>20633525</v>
      </c>
      <c r="H249" s="1">
        <v>20228846</v>
      </c>
      <c r="I249" s="1">
        <v>3112144</v>
      </c>
      <c r="J249" s="1">
        <v>102081</v>
      </c>
      <c r="K249" s="1">
        <v>7.62</v>
      </c>
      <c r="L249" s="1">
        <v>11.76</v>
      </c>
      <c r="M249" s="1">
        <v>30.35</v>
      </c>
      <c r="N249" s="1">
        <v>12.16</v>
      </c>
      <c r="O249" s="1">
        <v>23.16</v>
      </c>
      <c r="P249" s="1">
        <v>29.67</v>
      </c>
      <c r="Q249" s="1">
        <v>10776.24</v>
      </c>
      <c r="R249" s="1">
        <v>46</v>
      </c>
      <c r="S249" s="1">
        <v>72</v>
      </c>
    </row>
    <row r="250" spans="1:19" ht="15">
      <c r="A250" s="1">
        <v>14</v>
      </c>
      <c r="B250" s="1" t="s">
        <v>38</v>
      </c>
      <c r="C250" s="1" t="s">
        <v>33</v>
      </c>
      <c r="D250" s="1">
        <v>2025</v>
      </c>
      <c r="E250" s="1" t="s">
        <v>23</v>
      </c>
      <c r="F250" s="1">
        <v>187380120</v>
      </c>
      <c r="G250" s="1">
        <v>95016573</v>
      </c>
      <c r="H250" s="1">
        <v>92363547</v>
      </c>
      <c r="I250" s="1">
        <v>14329710</v>
      </c>
      <c r="J250" s="1">
        <v>1059901</v>
      </c>
      <c r="K250" s="1">
        <v>7.65</v>
      </c>
      <c r="L250" s="1">
        <v>15.11</v>
      </c>
      <c r="M250" s="1">
        <v>15.64</v>
      </c>
      <c r="N250" s="1">
        <v>6.01</v>
      </c>
      <c r="O250" s="1">
        <v>28.89</v>
      </c>
      <c r="P250" s="1">
        <v>23.17</v>
      </c>
      <c r="Q250" s="1">
        <v>6247.82</v>
      </c>
      <c r="R250" s="1">
        <v>67</v>
      </c>
      <c r="S250" s="1">
        <v>64</v>
      </c>
    </row>
    <row r="251" spans="1:19" ht="15">
      <c r="A251" s="1">
        <v>14</v>
      </c>
      <c r="B251" s="1" t="s">
        <v>38</v>
      </c>
      <c r="C251" s="1" t="s">
        <v>33</v>
      </c>
      <c r="D251" s="1">
        <v>2026</v>
      </c>
      <c r="E251" s="1" t="s">
        <v>21</v>
      </c>
      <c r="F251" s="1">
        <v>26694390</v>
      </c>
      <c r="G251" s="1">
        <v>13343033</v>
      </c>
      <c r="H251" s="1">
        <v>13351357</v>
      </c>
      <c r="I251" s="1">
        <v>1742697</v>
      </c>
      <c r="J251" s="1">
        <v>122364</v>
      </c>
      <c r="K251" s="1">
        <v>6.53</v>
      </c>
      <c r="L251" s="1">
        <v>20.11</v>
      </c>
      <c r="M251" s="1">
        <v>24.87</v>
      </c>
      <c r="N251" s="1">
        <v>14.52</v>
      </c>
      <c r="O251" s="1">
        <v>37.54</v>
      </c>
      <c r="P251" s="1">
        <v>31.12</v>
      </c>
      <c r="Q251" s="1">
        <v>560.99</v>
      </c>
      <c r="R251" s="1">
        <v>61</v>
      </c>
      <c r="S251" s="1">
        <v>74.8</v>
      </c>
    </row>
    <row r="252" spans="1:19" ht="15">
      <c r="A252" s="1">
        <v>14</v>
      </c>
      <c r="B252" s="1" t="s">
        <v>38</v>
      </c>
      <c r="C252" s="1" t="s">
        <v>33</v>
      </c>
      <c r="D252" s="1">
        <v>2026</v>
      </c>
      <c r="E252" s="1" t="s">
        <v>22</v>
      </c>
      <c r="F252" s="1">
        <v>2938157</v>
      </c>
      <c r="G252" s="1">
        <v>1439346</v>
      </c>
      <c r="H252" s="1">
        <v>1498811</v>
      </c>
      <c r="I252" s="1">
        <v>235825</v>
      </c>
      <c r="J252" s="1">
        <v>9151</v>
      </c>
      <c r="K252" s="1">
        <v>8.0299999999999994</v>
      </c>
      <c r="L252" s="1">
        <v>24.72</v>
      </c>
      <c r="M252" s="1">
        <v>29.41</v>
      </c>
      <c r="N252" s="1">
        <v>6.38</v>
      </c>
      <c r="O252" s="1">
        <v>23.04</v>
      </c>
      <c r="P252" s="1">
        <v>38.130000000000003</v>
      </c>
      <c r="Q252" s="1">
        <v>851.27</v>
      </c>
      <c r="R252" s="1">
        <v>53</v>
      </c>
      <c r="S252" s="1">
        <v>78.400000000000006</v>
      </c>
    </row>
    <row r="253" spans="1:19" ht="15">
      <c r="A253" s="1">
        <v>14</v>
      </c>
      <c r="B253" s="1" t="s">
        <v>38</v>
      </c>
      <c r="C253" s="1" t="s">
        <v>33</v>
      </c>
      <c r="D253" s="1">
        <v>2026</v>
      </c>
      <c r="E253" s="1" t="s">
        <v>23</v>
      </c>
      <c r="F253" s="1">
        <v>71711364</v>
      </c>
      <c r="G253" s="1">
        <v>36438804</v>
      </c>
      <c r="H253" s="1">
        <v>35272560</v>
      </c>
      <c r="I253" s="1">
        <v>3706768</v>
      </c>
      <c r="J253" s="1">
        <v>285760</v>
      </c>
      <c r="K253" s="1">
        <v>5.17</v>
      </c>
      <c r="L253" s="1">
        <v>14.11</v>
      </c>
      <c r="M253" s="1">
        <v>31.82</v>
      </c>
      <c r="N253" s="1">
        <v>10.01</v>
      </c>
      <c r="O253" s="1">
        <v>26.51</v>
      </c>
      <c r="P253" s="1">
        <v>19.37</v>
      </c>
      <c r="Q253" s="1">
        <v>631.98</v>
      </c>
      <c r="R253" s="1">
        <v>73</v>
      </c>
      <c r="S253" s="1">
        <v>65.400000000000006</v>
      </c>
    </row>
    <row r="254" spans="1:19" ht="15">
      <c r="A254" s="1">
        <v>15</v>
      </c>
      <c r="B254" s="1" t="s">
        <v>39</v>
      </c>
      <c r="C254" s="1" t="s">
        <v>33</v>
      </c>
      <c r="D254" s="1">
        <v>2021</v>
      </c>
      <c r="E254" s="1" t="s">
        <v>21</v>
      </c>
      <c r="F254" s="1">
        <v>160379374</v>
      </c>
      <c r="G254" s="1">
        <v>77024800</v>
      </c>
      <c r="H254" s="1">
        <v>83354574</v>
      </c>
      <c r="I254" s="1">
        <v>13349990</v>
      </c>
      <c r="J254" s="1">
        <v>1052760</v>
      </c>
      <c r="K254" s="1">
        <v>8.32</v>
      </c>
      <c r="L254" s="1">
        <v>20.29</v>
      </c>
      <c r="M254" s="1">
        <v>30.51</v>
      </c>
      <c r="N254" s="1">
        <v>14.7</v>
      </c>
      <c r="O254" s="1">
        <v>21.61</v>
      </c>
      <c r="P254" s="1">
        <v>25.64</v>
      </c>
      <c r="Q254" s="1">
        <v>5350.57</v>
      </c>
      <c r="R254" s="1">
        <v>45</v>
      </c>
      <c r="S254" s="1">
        <v>65.7</v>
      </c>
    </row>
    <row r="255" spans="1:19" ht="15">
      <c r="A255" s="1">
        <v>15</v>
      </c>
      <c r="B255" s="1" t="s">
        <v>39</v>
      </c>
      <c r="C255" s="1" t="s">
        <v>33</v>
      </c>
      <c r="D255" s="1">
        <v>2021</v>
      </c>
      <c r="E255" s="1" t="s">
        <v>22</v>
      </c>
      <c r="F255" s="1">
        <v>151250042</v>
      </c>
      <c r="G255" s="1">
        <v>75950225</v>
      </c>
      <c r="H255" s="1">
        <v>75299817</v>
      </c>
      <c r="I255" s="1">
        <v>8832431</v>
      </c>
      <c r="J255" s="1">
        <v>682650</v>
      </c>
      <c r="K255" s="1">
        <v>5.84</v>
      </c>
      <c r="L255" s="1">
        <v>12.39</v>
      </c>
      <c r="M255" s="1">
        <v>11.24</v>
      </c>
      <c r="N255" s="1">
        <v>12.56</v>
      </c>
      <c r="O255" s="1">
        <v>28.55</v>
      </c>
      <c r="P255" s="1">
        <v>31.31</v>
      </c>
      <c r="Q255" s="1">
        <v>837.27</v>
      </c>
      <c r="R255" s="1">
        <v>72</v>
      </c>
      <c r="S255" s="1">
        <v>61.8</v>
      </c>
    </row>
    <row r="256" spans="1:19" ht="15">
      <c r="A256" s="1">
        <v>15</v>
      </c>
      <c r="B256" s="1" t="s">
        <v>39</v>
      </c>
      <c r="C256" s="1" t="s">
        <v>33</v>
      </c>
      <c r="D256" s="1">
        <v>2021</v>
      </c>
      <c r="E256" s="1" t="s">
        <v>23</v>
      </c>
      <c r="F256" s="1">
        <v>68882148</v>
      </c>
      <c r="G256" s="1">
        <v>33966381</v>
      </c>
      <c r="H256" s="1">
        <v>34915767</v>
      </c>
      <c r="I256" s="1">
        <v>5261950</v>
      </c>
      <c r="J256" s="1">
        <v>241559</v>
      </c>
      <c r="K256" s="1">
        <v>7.64</v>
      </c>
      <c r="L256" s="1">
        <v>14.63</v>
      </c>
      <c r="M256" s="1">
        <v>33.78</v>
      </c>
      <c r="N256" s="1">
        <v>6.33</v>
      </c>
      <c r="O256" s="1">
        <v>30.05</v>
      </c>
      <c r="P256" s="1">
        <v>20.59</v>
      </c>
      <c r="Q256" s="1">
        <v>9836.3700000000008</v>
      </c>
      <c r="R256" s="1">
        <v>52</v>
      </c>
      <c r="S256" s="1">
        <v>74.2</v>
      </c>
    </row>
    <row r="257" spans="1:19" ht="15">
      <c r="A257" s="1">
        <v>15</v>
      </c>
      <c r="B257" s="1" t="s">
        <v>39</v>
      </c>
      <c r="C257" s="1" t="s">
        <v>33</v>
      </c>
      <c r="D257" s="1">
        <v>2022</v>
      </c>
      <c r="E257" s="1" t="s">
        <v>21</v>
      </c>
      <c r="F257" s="1">
        <v>151556151</v>
      </c>
      <c r="G257" s="1">
        <v>75386700</v>
      </c>
      <c r="H257" s="1">
        <v>76169451</v>
      </c>
      <c r="I257" s="1">
        <v>11050644</v>
      </c>
      <c r="J257" s="1">
        <v>879733</v>
      </c>
      <c r="K257" s="1">
        <v>7.29</v>
      </c>
      <c r="L257" s="1">
        <v>18.5</v>
      </c>
      <c r="M257" s="1">
        <v>26.44</v>
      </c>
      <c r="N257" s="1">
        <v>5.88</v>
      </c>
      <c r="O257" s="1">
        <v>30.49</v>
      </c>
      <c r="P257" s="1">
        <v>33.9</v>
      </c>
      <c r="Q257" s="1">
        <v>5891.77</v>
      </c>
      <c r="R257" s="1">
        <v>67</v>
      </c>
      <c r="S257" s="1">
        <v>76.7</v>
      </c>
    </row>
    <row r="258" spans="1:19" ht="15">
      <c r="A258" s="1">
        <v>15</v>
      </c>
      <c r="B258" s="1" t="s">
        <v>39</v>
      </c>
      <c r="C258" s="1" t="s">
        <v>33</v>
      </c>
      <c r="D258" s="1">
        <v>2022</v>
      </c>
      <c r="E258" s="1" t="s">
        <v>22</v>
      </c>
      <c r="F258" s="1">
        <v>24388071</v>
      </c>
      <c r="G258" s="1">
        <v>11813474</v>
      </c>
      <c r="H258" s="1">
        <v>12574597</v>
      </c>
      <c r="I258" s="1">
        <v>1801219</v>
      </c>
      <c r="J258" s="1">
        <v>56846</v>
      </c>
      <c r="K258" s="1">
        <v>7.39</v>
      </c>
      <c r="L258" s="1">
        <v>11.82</v>
      </c>
      <c r="M258" s="1">
        <v>26.83</v>
      </c>
      <c r="N258" s="1">
        <v>7.2</v>
      </c>
      <c r="O258" s="1">
        <v>21.01</v>
      </c>
      <c r="P258" s="1">
        <v>26.71</v>
      </c>
      <c r="Q258" s="1">
        <v>8529.44</v>
      </c>
      <c r="R258" s="1">
        <v>69</v>
      </c>
      <c r="S258" s="1">
        <v>66.400000000000006</v>
      </c>
    </row>
    <row r="259" spans="1:19" ht="15">
      <c r="A259" s="1">
        <v>15</v>
      </c>
      <c r="B259" s="1" t="s">
        <v>39</v>
      </c>
      <c r="C259" s="1" t="s">
        <v>33</v>
      </c>
      <c r="D259" s="1">
        <v>2022</v>
      </c>
      <c r="E259" s="1" t="s">
        <v>23</v>
      </c>
      <c r="F259" s="1">
        <v>76450297</v>
      </c>
      <c r="G259" s="1">
        <v>37401924</v>
      </c>
      <c r="H259" s="1">
        <v>39048373</v>
      </c>
      <c r="I259" s="1">
        <v>3910772</v>
      </c>
      <c r="J259" s="1">
        <v>125484</v>
      </c>
      <c r="K259" s="1">
        <v>5.12</v>
      </c>
      <c r="L259" s="1">
        <v>19.25</v>
      </c>
      <c r="M259" s="1">
        <v>15.38</v>
      </c>
      <c r="N259" s="1">
        <v>9.2799999999999994</v>
      </c>
      <c r="O259" s="1">
        <v>38.270000000000003</v>
      </c>
      <c r="P259" s="1">
        <v>35.11</v>
      </c>
      <c r="Q259" s="1">
        <v>10007.36</v>
      </c>
      <c r="R259" s="1">
        <v>48</v>
      </c>
      <c r="S259" s="1">
        <v>81.400000000000006</v>
      </c>
    </row>
    <row r="260" spans="1:19" ht="15">
      <c r="A260" s="1">
        <v>15</v>
      </c>
      <c r="B260" s="1" t="s">
        <v>39</v>
      </c>
      <c r="C260" s="1" t="s">
        <v>33</v>
      </c>
      <c r="D260" s="1">
        <v>2023</v>
      </c>
      <c r="E260" s="1" t="s">
        <v>21</v>
      </c>
      <c r="F260" s="1">
        <v>21382678</v>
      </c>
      <c r="G260" s="1">
        <v>10638057</v>
      </c>
      <c r="H260" s="1">
        <v>10744621</v>
      </c>
      <c r="I260" s="1">
        <v>1147539</v>
      </c>
      <c r="J260" s="1">
        <v>75835</v>
      </c>
      <c r="K260" s="1">
        <v>5.37</v>
      </c>
      <c r="L260" s="1">
        <v>12.22</v>
      </c>
      <c r="M260" s="1">
        <v>17.579999999999998</v>
      </c>
      <c r="N260" s="1">
        <v>7.81</v>
      </c>
      <c r="O260" s="1">
        <v>38.76</v>
      </c>
      <c r="P260" s="1">
        <v>36.67</v>
      </c>
      <c r="Q260" s="1">
        <v>3427.82</v>
      </c>
      <c r="R260" s="1">
        <v>70</v>
      </c>
      <c r="S260" s="1">
        <v>68.599999999999994</v>
      </c>
    </row>
    <row r="261" spans="1:19" ht="15">
      <c r="A261" s="1">
        <v>15</v>
      </c>
      <c r="B261" s="1" t="s">
        <v>39</v>
      </c>
      <c r="C261" s="1" t="s">
        <v>33</v>
      </c>
      <c r="D261" s="1">
        <v>2023</v>
      </c>
      <c r="E261" s="1" t="s">
        <v>22</v>
      </c>
      <c r="F261" s="1">
        <v>131570319</v>
      </c>
      <c r="G261" s="1">
        <v>63404883</v>
      </c>
      <c r="H261" s="1">
        <v>68165436</v>
      </c>
      <c r="I261" s="1">
        <v>6705024</v>
      </c>
      <c r="J261" s="1">
        <v>391941</v>
      </c>
      <c r="K261" s="1">
        <v>5.0999999999999996</v>
      </c>
      <c r="L261" s="1">
        <v>20</v>
      </c>
      <c r="M261" s="1">
        <v>25.74</v>
      </c>
      <c r="N261" s="1">
        <v>13.78</v>
      </c>
      <c r="O261" s="1">
        <v>22.77</v>
      </c>
      <c r="P261" s="1">
        <v>37.4</v>
      </c>
      <c r="Q261" s="1">
        <v>2910.48</v>
      </c>
      <c r="R261" s="1">
        <v>61</v>
      </c>
      <c r="S261" s="1">
        <v>81.2</v>
      </c>
    </row>
    <row r="262" spans="1:19" ht="15">
      <c r="A262" s="1">
        <v>15</v>
      </c>
      <c r="B262" s="1" t="s">
        <v>39</v>
      </c>
      <c r="C262" s="1" t="s">
        <v>33</v>
      </c>
      <c r="D262" s="1">
        <v>2023</v>
      </c>
      <c r="E262" s="1" t="s">
        <v>23</v>
      </c>
      <c r="F262" s="1">
        <v>179568737</v>
      </c>
      <c r="G262" s="1">
        <v>89062381</v>
      </c>
      <c r="H262" s="1">
        <v>90506356</v>
      </c>
      <c r="I262" s="1">
        <v>15590528</v>
      </c>
      <c r="J262" s="1">
        <v>623780</v>
      </c>
      <c r="K262" s="1">
        <v>8.68</v>
      </c>
      <c r="L262" s="1">
        <v>12.34</v>
      </c>
      <c r="M262" s="1">
        <v>16.72</v>
      </c>
      <c r="N262" s="1">
        <v>8.36</v>
      </c>
      <c r="O262" s="1">
        <v>37.72</v>
      </c>
      <c r="P262" s="1">
        <v>21.27</v>
      </c>
      <c r="Q262" s="1">
        <v>8341.5400000000009</v>
      </c>
      <c r="R262" s="1">
        <v>47</v>
      </c>
      <c r="S262" s="1">
        <v>79.2</v>
      </c>
    </row>
    <row r="263" spans="1:19" ht="15">
      <c r="A263" s="1">
        <v>15</v>
      </c>
      <c r="B263" s="1" t="s">
        <v>39</v>
      </c>
      <c r="C263" s="1" t="s">
        <v>33</v>
      </c>
      <c r="D263" s="1">
        <v>2024</v>
      </c>
      <c r="E263" s="1" t="s">
        <v>21</v>
      </c>
      <c r="F263" s="1">
        <v>57816863</v>
      </c>
      <c r="G263" s="1">
        <v>28385218</v>
      </c>
      <c r="H263" s="1">
        <v>29431645</v>
      </c>
      <c r="I263" s="1">
        <v>5500484</v>
      </c>
      <c r="J263" s="1">
        <v>324998</v>
      </c>
      <c r="K263" s="1">
        <v>9.51</v>
      </c>
      <c r="L263" s="1">
        <v>13.39</v>
      </c>
      <c r="M263" s="1">
        <v>22.33</v>
      </c>
      <c r="N263" s="1">
        <v>9</v>
      </c>
      <c r="O263" s="1">
        <v>36.71</v>
      </c>
      <c r="P263" s="1">
        <v>34.82</v>
      </c>
      <c r="Q263" s="1">
        <v>4228.05</v>
      </c>
      <c r="R263" s="1">
        <v>40</v>
      </c>
      <c r="S263" s="1">
        <v>82.6</v>
      </c>
    </row>
    <row r="264" spans="1:19" ht="15">
      <c r="A264" s="1">
        <v>15</v>
      </c>
      <c r="B264" s="1" t="s">
        <v>39</v>
      </c>
      <c r="C264" s="1" t="s">
        <v>33</v>
      </c>
      <c r="D264" s="1">
        <v>2024</v>
      </c>
      <c r="E264" s="1" t="s">
        <v>22</v>
      </c>
      <c r="F264" s="1">
        <v>170850443</v>
      </c>
      <c r="G264" s="1">
        <v>88224788</v>
      </c>
      <c r="H264" s="1">
        <v>82625655</v>
      </c>
      <c r="I264" s="1">
        <v>9373427</v>
      </c>
      <c r="J264" s="1">
        <v>540975</v>
      </c>
      <c r="K264" s="1">
        <v>5.49</v>
      </c>
      <c r="L264" s="1">
        <v>18.38</v>
      </c>
      <c r="M264" s="1">
        <v>30.59</v>
      </c>
      <c r="N264" s="1">
        <v>9.81</v>
      </c>
      <c r="O264" s="1">
        <v>25.63</v>
      </c>
      <c r="P264" s="1">
        <v>32.82</v>
      </c>
      <c r="Q264" s="1">
        <v>4893.1899999999996</v>
      </c>
      <c r="R264" s="1">
        <v>42</v>
      </c>
      <c r="S264" s="1">
        <v>69.8</v>
      </c>
    </row>
    <row r="265" spans="1:19" ht="15">
      <c r="A265" s="1">
        <v>15</v>
      </c>
      <c r="B265" s="1" t="s">
        <v>39</v>
      </c>
      <c r="C265" s="1" t="s">
        <v>33</v>
      </c>
      <c r="D265" s="1">
        <v>2024</v>
      </c>
      <c r="E265" s="1" t="s">
        <v>23</v>
      </c>
      <c r="F265" s="1">
        <v>164491894</v>
      </c>
      <c r="G265" s="1">
        <v>81299823</v>
      </c>
      <c r="H265" s="1">
        <v>83192071</v>
      </c>
      <c r="I265" s="1">
        <v>12584031</v>
      </c>
      <c r="J265" s="1">
        <v>886383</v>
      </c>
      <c r="K265" s="1">
        <v>7.65</v>
      </c>
      <c r="L265" s="1">
        <v>26.53</v>
      </c>
      <c r="M265" s="1">
        <v>27.09</v>
      </c>
      <c r="N265" s="1">
        <v>12.1</v>
      </c>
      <c r="O265" s="1">
        <v>21.9</v>
      </c>
      <c r="P265" s="1">
        <v>28.63</v>
      </c>
      <c r="Q265" s="1">
        <v>7376.65</v>
      </c>
      <c r="R265" s="1">
        <v>76</v>
      </c>
      <c r="S265" s="1">
        <v>63.2</v>
      </c>
    </row>
    <row r="266" spans="1:19" ht="15">
      <c r="A266" s="1">
        <v>15</v>
      </c>
      <c r="B266" s="1" t="s">
        <v>39</v>
      </c>
      <c r="C266" s="1" t="s">
        <v>33</v>
      </c>
      <c r="D266" s="1">
        <v>2025</v>
      </c>
      <c r="E266" s="1" t="s">
        <v>21</v>
      </c>
      <c r="F266" s="1">
        <v>125494205</v>
      </c>
      <c r="G266" s="1">
        <v>63628966</v>
      </c>
      <c r="H266" s="1">
        <v>61865239</v>
      </c>
      <c r="I266" s="1">
        <v>6921929</v>
      </c>
      <c r="J266" s="1">
        <v>249788</v>
      </c>
      <c r="K266" s="1">
        <v>5.52</v>
      </c>
      <c r="L266" s="1">
        <v>12.07</v>
      </c>
      <c r="M266" s="1">
        <v>13.62</v>
      </c>
      <c r="N266" s="1">
        <v>10.9</v>
      </c>
      <c r="O266" s="1">
        <v>21.95</v>
      </c>
      <c r="P266" s="1">
        <v>25.22</v>
      </c>
      <c r="Q266" s="1">
        <v>3819.61</v>
      </c>
      <c r="R266" s="1">
        <v>79</v>
      </c>
      <c r="S266" s="1">
        <v>75</v>
      </c>
    </row>
    <row r="267" spans="1:19" ht="15">
      <c r="A267" s="1">
        <v>15</v>
      </c>
      <c r="B267" s="1" t="s">
        <v>39</v>
      </c>
      <c r="C267" s="1" t="s">
        <v>33</v>
      </c>
      <c r="D267" s="1">
        <v>2025</v>
      </c>
      <c r="E267" s="1" t="s">
        <v>22</v>
      </c>
      <c r="F267" s="1">
        <v>166117028</v>
      </c>
      <c r="G267" s="1">
        <v>83977872</v>
      </c>
      <c r="H267" s="1">
        <v>82139156</v>
      </c>
      <c r="I267" s="1">
        <v>13251228</v>
      </c>
      <c r="J267" s="1">
        <v>766053</v>
      </c>
      <c r="K267" s="1">
        <v>7.98</v>
      </c>
      <c r="L267" s="1">
        <v>25.35</v>
      </c>
      <c r="M267" s="1">
        <v>22.53</v>
      </c>
      <c r="N267" s="1">
        <v>7.14</v>
      </c>
      <c r="O267" s="1">
        <v>22.19</v>
      </c>
      <c r="P267" s="1">
        <v>30</v>
      </c>
      <c r="Q267" s="1">
        <v>9757.73</v>
      </c>
      <c r="R267" s="1">
        <v>72</v>
      </c>
      <c r="S267" s="1">
        <v>76.5</v>
      </c>
    </row>
    <row r="268" spans="1:19" ht="15">
      <c r="A268" s="1">
        <v>15</v>
      </c>
      <c r="B268" s="1" t="s">
        <v>39</v>
      </c>
      <c r="C268" s="1" t="s">
        <v>33</v>
      </c>
      <c r="D268" s="1">
        <v>2025</v>
      </c>
      <c r="E268" s="1" t="s">
        <v>23</v>
      </c>
      <c r="F268" s="1">
        <v>124365133</v>
      </c>
      <c r="G268" s="1">
        <v>63561454</v>
      </c>
      <c r="H268" s="1">
        <v>60803679</v>
      </c>
      <c r="I268" s="1">
        <v>6719780</v>
      </c>
      <c r="J268" s="1">
        <v>487434</v>
      </c>
      <c r="K268" s="1">
        <v>5.4</v>
      </c>
      <c r="L268" s="1">
        <v>10.63</v>
      </c>
      <c r="M268" s="1">
        <v>23.99</v>
      </c>
      <c r="N268" s="1">
        <v>9.15</v>
      </c>
      <c r="O268" s="1">
        <v>22.64</v>
      </c>
      <c r="P268" s="1">
        <v>29.33</v>
      </c>
      <c r="Q268" s="1">
        <v>1822.37</v>
      </c>
      <c r="R268" s="1">
        <v>71</v>
      </c>
      <c r="S268" s="1">
        <v>61.2</v>
      </c>
    </row>
    <row r="269" spans="1:19" ht="15">
      <c r="A269" s="1">
        <v>15</v>
      </c>
      <c r="B269" s="1" t="s">
        <v>39</v>
      </c>
      <c r="C269" s="1" t="s">
        <v>33</v>
      </c>
      <c r="D269" s="1">
        <v>2026</v>
      </c>
      <c r="E269" s="1" t="s">
        <v>21</v>
      </c>
      <c r="F269" s="1">
        <v>75853523</v>
      </c>
      <c r="G269" s="1">
        <v>39114732</v>
      </c>
      <c r="H269" s="1">
        <v>36738791</v>
      </c>
      <c r="I269" s="1">
        <v>5463525</v>
      </c>
      <c r="J269" s="1">
        <v>384212</v>
      </c>
      <c r="K269" s="1">
        <v>7.2</v>
      </c>
      <c r="L269" s="1">
        <v>29.08</v>
      </c>
      <c r="M269" s="1">
        <v>28.26</v>
      </c>
      <c r="N269" s="1">
        <v>9.2200000000000006</v>
      </c>
      <c r="O269" s="1">
        <v>38.869999999999997</v>
      </c>
      <c r="P269" s="1">
        <v>21.18</v>
      </c>
      <c r="Q269" s="1">
        <v>3243.43</v>
      </c>
      <c r="R269" s="1">
        <v>71</v>
      </c>
      <c r="S269" s="1">
        <v>75.400000000000006</v>
      </c>
    </row>
    <row r="270" spans="1:19" ht="15">
      <c r="A270" s="1">
        <v>15</v>
      </c>
      <c r="B270" s="1" t="s">
        <v>39</v>
      </c>
      <c r="C270" s="1" t="s">
        <v>33</v>
      </c>
      <c r="D270" s="1">
        <v>2026</v>
      </c>
      <c r="E270" s="1" t="s">
        <v>22</v>
      </c>
      <c r="F270" s="1">
        <v>143100906</v>
      </c>
      <c r="G270" s="1">
        <v>70182148</v>
      </c>
      <c r="H270" s="1">
        <v>72918758</v>
      </c>
      <c r="I270" s="1">
        <v>9399427</v>
      </c>
      <c r="J270" s="1">
        <v>295041</v>
      </c>
      <c r="K270" s="1">
        <v>6.57</v>
      </c>
      <c r="L270" s="1">
        <v>11.9</v>
      </c>
      <c r="M270" s="1">
        <v>18.239999999999998</v>
      </c>
      <c r="N270" s="1">
        <v>5.95</v>
      </c>
      <c r="O270" s="1">
        <v>20.45</v>
      </c>
      <c r="P270" s="1">
        <v>34.26</v>
      </c>
      <c r="Q270" s="1">
        <v>10658.63</v>
      </c>
      <c r="R270" s="1">
        <v>77</v>
      </c>
      <c r="S270" s="1">
        <v>63.1</v>
      </c>
    </row>
    <row r="271" spans="1:19" ht="15">
      <c r="A271" s="1">
        <v>15</v>
      </c>
      <c r="B271" s="1" t="s">
        <v>39</v>
      </c>
      <c r="C271" s="1" t="s">
        <v>33</v>
      </c>
      <c r="D271" s="1">
        <v>2026</v>
      </c>
      <c r="E271" s="1" t="s">
        <v>23</v>
      </c>
      <c r="F271" s="1">
        <v>69410178</v>
      </c>
      <c r="G271" s="1">
        <v>33360969</v>
      </c>
      <c r="H271" s="1">
        <v>36049209</v>
      </c>
      <c r="I271" s="1">
        <v>4930108</v>
      </c>
      <c r="J271" s="1">
        <v>177347</v>
      </c>
      <c r="K271" s="1">
        <v>7.1</v>
      </c>
      <c r="L271" s="1">
        <v>21.36</v>
      </c>
      <c r="M271" s="1">
        <v>26.93</v>
      </c>
      <c r="N271" s="1">
        <v>12.16</v>
      </c>
      <c r="O271" s="1">
        <v>22.09</v>
      </c>
      <c r="P271" s="1">
        <v>34.979999999999997</v>
      </c>
      <c r="Q271" s="1">
        <v>10140.82</v>
      </c>
      <c r="R271" s="1">
        <v>55</v>
      </c>
      <c r="S271" s="1">
        <v>66.2</v>
      </c>
    </row>
    <row r="272" spans="1:19" ht="15">
      <c r="A272" s="1">
        <v>16</v>
      </c>
      <c r="B272" s="1" t="s">
        <v>40</v>
      </c>
      <c r="C272" s="1" t="s">
        <v>33</v>
      </c>
      <c r="D272" s="1">
        <v>2021</v>
      </c>
      <c r="E272" s="1" t="s">
        <v>21</v>
      </c>
      <c r="F272" s="1">
        <v>22413985</v>
      </c>
      <c r="G272" s="1">
        <v>11061314</v>
      </c>
      <c r="H272" s="1">
        <v>11352671</v>
      </c>
      <c r="I272" s="1">
        <v>1409338</v>
      </c>
      <c r="J272" s="1">
        <v>53436</v>
      </c>
      <c r="K272" s="1">
        <v>6.29</v>
      </c>
      <c r="L272" s="1">
        <v>29.24</v>
      </c>
      <c r="M272" s="1">
        <v>34.61</v>
      </c>
      <c r="N272" s="1">
        <v>12.83</v>
      </c>
      <c r="O272" s="1">
        <v>26</v>
      </c>
      <c r="P272" s="1">
        <v>19.66</v>
      </c>
      <c r="Q272" s="1">
        <v>9885.1</v>
      </c>
      <c r="R272" s="1">
        <v>83</v>
      </c>
      <c r="S272" s="1">
        <v>78.900000000000006</v>
      </c>
    </row>
    <row r="273" spans="1:19" ht="15">
      <c r="A273" s="1">
        <v>16</v>
      </c>
      <c r="B273" s="1" t="s">
        <v>40</v>
      </c>
      <c r="C273" s="1" t="s">
        <v>33</v>
      </c>
      <c r="D273" s="1">
        <v>2021</v>
      </c>
      <c r="E273" s="1" t="s">
        <v>22</v>
      </c>
      <c r="F273" s="1">
        <v>138857038</v>
      </c>
      <c r="G273" s="1">
        <v>66729852</v>
      </c>
      <c r="H273" s="1">
        <v>72127186</v>
      </c>
      <c r="I273" s="1">
        <v>7566113</v>
      </c>
      <c r="J273" s="1">
        <v>443111</v>
      </c>
      <c r="K273" s="1">
        <v>5.45</v>
      </c>
      <c r="L273" s="1">
        <v>10.79</v>
      </c>
      <c r="M273" s="1">
        <v>30.45</v>
      </c>
      <c r="N273" s="1">
        <v>14.78</v>
      </c>
      <c r="O273" s="1">
        <v>39.549999999999997</v>
      </c>
      <c r="P273" s="1">
        <v>35.74</v>
      </c>
      <c r="Q273" s="1">
        <v>944.22</v>
      </c>
      <c r="R273" s="1">
        <v>71</v>
      </c>
      <c r="S273" s="1">
        <v>62.6</v>
      </c>
    </row>
    <row r="274" spans="1:19" ht="15">
      <c r="A274" s="1">
        <v>16</v>
      </c>
      <c r="B274" s="1" t="s">
        <v>40</v>
      </c>
      <c r="C274" s="1" t="s">
        <v>33</v>
      </c>
      <c r="D274" s="1">
        <v>2021</v>
      </c>
      <c r="E274" s="1" t="s">
        <v>23</v>
      </c>
      <c r="F274" s="1">
        <v>181380038</v>
      </c>
      <c r="G274" s="1">
        <v>90995780</v>
      </c>
      <c r="H274" s="1">
        <v>90384258</v>
      </c>
      <c r="I274" s="1">
        <v>10086393</v>
      </c>
      <c r="J274" s="1">
        <v>305011</v>
      </c>
      <c r="K274" s="1">
        <v>5.56</v>
      </c>
      <c r="L274" s="1">
        <v>12.31</v>
      </c>
      <c r="M274" s="1">
        <v>31.96</v>
      </c>
      <c r="N274" s="1">
        <v>7.99</v>
      </c>
      <c r="O274" s="1">
        <v>34.92</v>
      </c>
      <c r="P274" s="1">
        <v>38.43</v>
      </c>
      <c r="Q274" s="1">
        <v>4581.3500000000004</v>
      </c>
      <c r="R274" s="1">
        <v>84</v>
      </c>
      <c r="S274" s="1">
        <v>81.400000000000006</v>
      </c>
    </row>
    <row r="275" spans="1:19" ht="15">
      <c r="A275" s="1">
        <v>16</v>
      </c>
      <c r="B275" s="1" t="s">
        <v>40</v>
      </c>
      <c r="C275" s="1" t="s">
        <v>33</v>
      </c>
      <c r="D275" s="1">
        <v>2022</v>
      </c>
      <c r="E275" s="1" t="s">
        <v>21</v>
      </c>
      <c r="F275" s="1">
        <v>192367160</v>
      </c>
      <c r="G275" s="1">
        <v>93272047</v>
      </c>
      <c r="H275" s="1">
        <v>99095113</v>
      </c>
      <c r="I275" s="1">
        <v>10847891</v>
      </c>
      <c r="J275" s="1">
        <v>814258</v>
      </c>
      <c r="K275" s="1">
        <v>5.64</v>
      </c>
      <c r="L275" s="1">
        <v>26.76</v>
      </c>
      <c r="M275" s="1">
        <v>30.61</v>
      </c>
      <c r="N275" s="1">
        <v>11.67</v>
      </c>
      <c r="O275" s="1">
        <v>39.159999999999997</v>
      </c>
      <c r="P275" s="1">
        <v>25.54</v>
      </c>
      <c r="Q275" s="1">
        <v>9915.2900000000009</v>
      </c>
      <c r="R275" s="1">
        <v>79</v>
      </c>
      <c r="S275" s="1">
        <v>77.8</v>
      </c>
    </row>
    <row r="276" spans="1:19" ht="15">
      <c r="A276" s="1">
        <v>16</v>
      </c>
      <c r="B276" s="1" t="s">
        <v>40</v>
      </c>
      <c r="C276" s="1" t="s">
        <v>33</v>
      </c>
      <c r="D276" s="1">
        <v>2022</v>
      </c>
      <c r="E276" s="1" t="s">
        <v>22</v>
      </c>
      <c r="F276" s="1">
        <v>60359453</v>
      </c>
      <c r="G276" s="1">
        <v>29677342</v>
      </c>
      <c r="H276" s="1">
        <v>30682111</v>
      </c>
      <c r="I276" s="1">
        <v>3364728</v>
      </c>
      <c r="J276" s="1">
        <v>261254</v>
      </c>
      <c r="K276" s="1">
        <v>5.57</v>
      </c>
      <c r="L276" s="1">
        <v>26.38</v>
      </c>
      <c r="M276" s="1">
        <v>28.58</v>
      </c>
      <c r="N276" s="1">
        <v>7.51</v>
      </c>
      <c r="O276" s="1">
        <v>36.4</v>
      </c>
      <c r="P276" s="1">
        <v>19.91</v>
      </c>
      <c r="Q276" s="1">
        <v>7805.86</v>
      </c>
      <c r="R276" s="1">
        <v>59</v>
      </c>
      <c r="S276" s="1">
        <v>63.7</v>
      </c>
    </row>
    <row r="277" spans="1:19" ht="15">
      <c r="A277" s="1">
        <v>16</v>
      </c>
      <c r="B277" s="1" t="s">
        <v>40</v>
      </c>
      <c r="C277" s="1" t="s">
        <v>33</v>
      </c>
      <c r="D277" s="1">
        <v>2022</v>
      </c>
      <c r="E277" s="1" t="s">
        <v>23</v>
      </c>
      <c r="F277" s="1">
        <v>90836794</v>
      </c>
      <c r="G277" s="1">
        <v>45821963</v>
      </c>
      <c r="H277" s="1">
        <v>45014831</v>
      </c>
      <c r="I277" s="1">
        <v>7808120</v>
      </c>
      <c r="J277" s="1">
        <v>592414</v>
      </c>
      <c r="K277" s="1">
        <v>8.6</v>
      </c>
      <c r="L277" s="1">
        <v>29.16</v>
      </c>
      <c r="M277" s="1">
        <v>29.01</v>
      </c>
      <c r="N277" s="1">
        <v>5.45</v>
      </c>
      <c r="O277" s="1">
        <v>27.74</v>
      </c>
      <c r="P277" s="1">
        <v>33.159999999999997</v>
      </c>
      <c r="Q277" s="1">
        <v>10484.93</v>
      </c>
      <c r="R277" s="1">
        <v>60</v>
      </c>
      <c r="S277" s="1">
        <v>60.5</v>
      </c>
    </row>
    <row r="278" spans="1:19" ht="15">
      <c r="A278" s="1">
        <v>16</v>
      </c>
      <c r="B278" s="1" t="s">
        <v>40</v>
      </c>
      <c r="C278" s="1" t="s">
        <v>33</v>
      </c>
      <c r="D278" s="1">
        <v>2023</v>
      </c>
      <c r="E278" s="1" t="s">
        <v>21</v>
      </c>
      <c r="F278" s="1">
        <v>157386037</v>
      </c>
      <c r="G278" s="1">
        <v>81433339</v>
      </c>
      <c r="H278" s="1">
        <v>75952698</v>
      </c>
      <c r="I278" s="1">
        <v>15169001</v>
      </c>
      <c r="J278" s="1">
        <v>1125649</v>
      </c>
      <c r="K278" s="1">
        <v>9.64</v>
      </c>
      <c r="L278" s="1">
        <v>13.06</v>
      </c>
      <c r="M278" s="1">
        <v>18.05</v>
      </c>
      <c r="N278" s="1">
        <v>14.28</v>
      </c>
      <c r="O278" s="1">
        <v>38.4</v>
      </c>
      <c r="P278" s="1">
        <v>39.090000000000003</v>
      </c>
      <c r="Q278" s="1">
        <v>8549.32</v>
      </c>
      <c r="R278" s="1">
        <v>57</v>
      </c>
      <c r="S278" s="1">
        <v>76.3</v>
      </c>
    </row>
    <row r="279" spans="1:19" ht="15">
      <c r="A279" s="1">
        <v>16</v>
      </c>
      <c r="B279" s="1" t="s">
        <v>40</v>
      </c>
      <c r="C279" s="1" t="s">
        <v>33</v>
      </c>
      <c r="D279" s="1">
        <v>2023</v>
      </c>
      <c r="E279" s="1" t="s">
        <v>22</v>
      </c>
      <c r="F279" s="1">
        <v>79335927</v>
      </c>
      <c r="G279" s="1">
        <v>40335383</v>
      </c>
      <c r="H279" s="1">
        <v>39000544</v>
      </c>
      <c r="I279" s="1">
        <v>5010813</v>
      </c>
      <c r="J279" s="1">
        <v>361287</v>
      </c>
      <c r="K279" s="1">
        <v>6.32</v>
      </c>
      <c r="L279" s="1">
        <v>22.1</v>
      </c>
      <c r="M279" s="1">
        <v>17.09</v>
      </c>
      <c r="N279" s="1">
        <v>6.49</v>
      </c>
      <c r="O279" s="1">
        <v>22.49</v>
      </c>
      <c r="P279" s="1">
        <v>18.829999999999998</v>
      </c>
      <c r="Q279" s="1">
        <v>11035.68</v>
      </c>
      <c r="R279" s="1">
        <v>51</v>
      </c>
      <c r="S279" s="1">
        <v>68.5</v>
      </c>
    </row>
    <row r="280" spans="1:19" ht="15">
      <c r="A280" s="1">
        <v>16</v>
      </c>
      <c r="B280" s="1" t="s">
        <v>40</v>
      </c>
      <c r="C280" s="1" t="s">
        <v>33</v>
      </c>
      <c r="D280" s="1">
        <v>2023</v>
      </c>
      <c r="E280" s="1" t="s">
        <v>23</v>
      </c>
      <c r="F280" s="1">
        <v>162673757</v>
      </c>
      <c r="G280" s="1">
        <v>79040046</v>
      </c>
      <c r="H280" s="1">
        <v>83633711</v>
      </c>
      <c r="I280" s="1">
        <v>15427257</v>
      </c>
      <c r="J280" s="1">
        <v>1228011</v>
      </c>
      <c r="K280" s="1">
        <v>9.48</v>
      </c>
      <c r="L280" s="1">
        <v>20.29</v>
      </c>
      <c r="M280" s="1">
        <v>33.75</v>
      </c>
      <c r="N280" s="1">
        <v>14.7</v>
      </c>
      <c r="O280" s="1">
        <v>33.51</v>
      </c>
      <c r="P280" s="1">
        <v>18.57</v>
      </c>
      <c r="Q280" s="1">
        <v>8091.44</v>
      </c>
      <c r="R280" s="1">
        <v>65</v>
      </c>
      <c r="S280" s="1">
        <v>64.2</v>
      </c>
    </row>
    <row r="281" spans="1:19" ht="15">
      <c r="A281" s="1">
        <v>16</v>
      </c>
      <c r="B281" s="1" t="s">
        <v>40</v>
      </c>
      <c r="C281" s="1" t="s">
        <v>33</v>
      </c>
      <c r="D281" s="1">
        <v>2024</v>
      </c>
      <c r="E281" s="1" t="s">
        <v>21</v>
      </c>
      <c r="F281" s="1">
        <v>155680092</v>
      </c>
      <c r="G281" s="1">
        <v>80278878</v>
      </c>
      <c r="H281" s="1">
        <v>75401214</v>
      </c>
      <c r="I281" s="1">
        <v>9189379</v>
      </c>
      <c r="J281" s="1">
        <v>438206</v>
      </c>
      <c r="K281" s="1">
        <v>5.9</v>
      </c>
      <c r="L281" s="1">
        <v>23.67</v>
      </c>
      <c r="M281" s="1">
        <v>16</v>
      </c>
      <c r="N281" s="1">
        <v>13.43</v>
      </c>
      <c r="O281" s="1">
        <v>30.15</v>
      </c>
      <c r="P281" s="1">
        <v>31.18</v>
      </c>
      <c r="Q281" s="1">
        <v>5732.75</v>
      </c>
      <c r="R281" s="1">
        <v>80</v>
      </c>
      <c r="S281" s="1">
        <v>78.599999999999994</v>
      </c>
    </row>
    <row r="282" spans="1:19" ht="15">
      <c r="A282" s="1">
        <v>16</v>
      </c>
      <c r="B282" s="1" t="s">
        <v>40</v>
      </c>
      <c r="C282" s="1" t="s">
        <v>33</v>
      </c>
      <c r="D282" s="1">
        <v>2024</v>
      </c>
      <c r="E282" s="1" t="s">
        <v>22</v>
      </c>
      <c r="F282" s="1">
        <v>3053174</v>
      </c>
      <c r="G282" s="1">
        <v>1563742</v>
      </c>
      <c r="H282" s="1">
        <v>1489432</v>
      </c>
      <c r="I282" s="1">
        <v>208404</v>
      </c>
      <c r="J282" s="1">
        <v>9979</v>
      </c>
      <c r="K282" s="1">
        <v>6.83</v>
      </c>
      <c r="L282" s="1">
        <v>14.85</v>
      </c>
      <c r="M282" s="1">
        <v>32.49</v>
      </c>
      <c r="N282" s="1">
        <v>6.17</v>
      </c>
      <c r="O282" s="1">
        <v>27.11</v>
      </c>
      <c r="P282" s="1">
        <v>15.85</v>
      </c>
      <c r="Q282" s="1">
        <v>8042.08</v>
      </c>
      <c r="R282" s="1">
        <v>75</v>
      </c>
      <c r="S282" s="1">
        <v>82.1</v>
      </c>
    </row>
    <row r="283" spans="1:19" ht="15">
      <c r="A283" s="1">
        <v>16</v>
      </c>
      <c r="B283" s="1" t="s">
        <v>40</v>
      </c>
      <c r="C283" s="1" t="s">
        <v>33</v>
      </c>
      <c r="D283" s="1">
        <v>2024</v>
      </c>
      <c r="E283" s="1" t="s">
        <v>23</v>
      </c>
      <c r="F283" s="1">
        <v>180707779</v>
      </c>
      <c r="G283" s="1">
        <v>86991687</v>
      </c>
      <c r="H283" s="1">
        <v>93716092</v>
      </c>
      <c r="I283" s="1">
        <v>12221938</v>
      </c>
      <c r="J283" s="1">
        <v>771031</v>
      </c>
      <c r="K283" s="1">
        <v>6.76</v>
      </c>
      <c r="L283" s="1">
        <v>13.23</v>
      </c>
      <c r="M283" s="1">
        <v>22.99</v>
      </c>
      <c r="N283" s="1">
        <v>8.3800000000000008</v>
      </c>
      <c r="O283" s="1">
        <v>20.9</v>
      </c>
      <c r="P283" s="1">
        <v>34.58</v>
      </c>
      <c r="Q283" s="1">
        <v>3834.72</v>
      </c>
      <c r="R283" s="1">
        <v>64</v>
      </c>
      <c r="S283" s="1">
        <v>64.2</v>
      </c>
    </row>
    <row r="284" spans="1:19" ht="15">
      <c r="A284" s="1">
        <v>16</v>
      </c>
      <c r="B284" s="1" t="s">
        <v>40</v>
      </c>
      <c r="C284" s="1" t="s">
        <v>33</v>
      </c>
      <c r="D284" s="1">
        <v>2025</v>
      </c>
      <c r="E284" s="1" t="s">
        <v>21</v>
      </c>
      <c r="F284" s="1">
        <v>49684251</v>
      </c>
      <c r="G284" s="1">
        <v>24723011</v>
      </c>
      <c r="H284" s="1">
        <v>24961240</v>
      </c>
      <c r="I284" s="1">
        <v>3290351</v>
      </c>
      <c r="J284" s="1">
        <v>115626</v>
      </c>
      <c r="K284" s="1">
        <v>6.62</v>
      </c>
      <c r="L284" s="1">
        <v>29.75</v>
      </c>
      <c r="M284" s="1">
        <v>24.83</v>
      </c>
      <c r="N284" s="1">
        <v>9.43</v>
      </c>
      <c r="O284" s="1">
        <v>31.74</v>
      </c>
      <c r="P284" s="1">
        <v>26.33</v>
      </c>
      <c r="Q284" s="1">
        <v>9576.58</v>
      </c>
      <c r="R284" s="1">
        <v>69</v>
      </c>
      <c r="S284" s="1">
        <v>79.900000000000006</v>
      </c>
    </row>
    <row r="285" spans="1:19" ht="15">
      <c r="A285" s="1">
        <v>16</v>
      </c>
      <c r="B285" s="1" t="s">
        <v>40</v>
      </c>
      <c r="C285" s="1" t="s">
        <v>33</v>
      </c>
      <c r="D285" s="1">
        <v>2025</v>
      </c>
      <c r="E285" s="1" t="s">
        <v>22</v>
      </c>
      <c r="F285" s="1">
        <v>51307571</v>
      </c>
      <c r="G285" s="1">
        <v>26537565</v>
      </c>
      <c r="H285" s="1">
        <v>24770006</v>
      </c>
      <c r="I285" s="1">
        <v>3322760</v>
      </c>
      <c r="J285" s="1">
        <v>205367</v>
      </c>
      <c r="K285" s="1">
        <v>6.48</v>
      </c>
      <c r="L285" s="1">
        <v>28.86</v>
      </c>
      <c r="M285" s="1">
        <v>27.44</v>
      </c>
      <c r="N285" s="1">
        <v>5.54</v>
      </c>
      <c r="O285" s="1">
        <v>32.44</v>
      </c>
      <c r="P285" s="1">
        <v>36.4</v>
      </c>
      <c r="Q285" s="1">
        <v>1104.69</v>
      </c>
      <c r="R285" s="1">
        <v>53</v>
      </c>
      <c r="S285" s="1">
        <v>64.599999999999994</v>
      </c>
    </row>
    <row r="286" spans="1:19" ht="15">
      <c r="A286" s="1">
        <v>16</v>
      </c>
      <c r="B286" s="1" t="s">
        <v>40</v>
      </c>
      <c r="C286" s="1" t="s">
        <v>33</v>
      </c>
      <c r="D286" s="1">
        <v>2025</v>
      </c>
      <c r="E286" s="1" t="s">
        <v>23</v>
      </c>
      <c r="F286" s="1">
        <v>93959215</v>
      </c>
      <c r="G286" s="1">
        <v>46564487</v>
      </c>
      <c r="H286" s="1">
        <v>47394728</v>
      </c>
      <c r="I286" s="1">
        <v>9305428</v>
      </c>
      <c r="J286" s="1">
        <v>319101</v>
      </c>
      <c r="K286" s="1">
        <v>9.9</v>
      </c>
      <c r="L286" s="1">
        <v>13.54</v>
      </c>
      <c r="M286" s="1">
        <v>25.83</v>
      </c>
      <c r="N286" s="1">
        <v>6.12</v>
      </c>
      <c r="O286" s="1">
        <v>32.35</v>
      </c>
      <c r="P286" s="1">
        <v>30.78</v>
      </c>
      <c r="Q286" s="1">
        <v>6850.06</v>
      </c>
      <c r="R286" s="1">
        <v>58</v>
      </c>
      <c r="S286" s="1">
        <v>69.7</v>
      </c>
    </row>
    <row r="287" spans="1:19" ht="15">
      <c r="A287" s="1">
        <v>16</v>
      </c>
      <c r="B287" s="1" t="s">
        <v>40</v>
      </c>
      <c r="C287" s="1" t="s">
        <v>33</v>
      </c>
      <c r="D287" s="1">
        <v>2026</v>
      </c>
      <c r="E287" s="1" t="s">
        <v>21</v>
      </c>
      <c r="F287" s="1">
        <v>20572467</v>
      </c>
      <c r="G287" s="1">
        <v>10179507</v>
      </c>
      <c r="H287" s="1">
        <v>10392960</v>
      </c>
      <c r="I287" s="1">
        <v>1427199</v>
      </c>
      <c r="J287" s="1">
        <v>67647</v>
      </c>
      <c r="K287" s="1">
        <v>6.94</v>
      </c>
      <c r="L287" s="1">
        <v>16.12</v>
      </c>
      <c r="M287" s="1">
        <v>14.31</v>
      </c>
      <c r="N287" s="1">
        <v>10.62</v>
      </c>
      <c r="O287" s="1">
        <v>32.130000000000003</v>
      </c>
      <c r="P287" s="1">
        <v>28.63</v>
      </c>
      <c r="Q287" s="1">
        <v>6342.62</v>
      </c>
      <c r="R287" s="1">
        <v>61</v>
      </c>
      <c r="S287" s="1">
        <v>78.7</v>
      </c>
    </row>
    <row r="288" spans="1:19" ht="15">
      <c r="A288" s="1">
        <v>16</v>
      </c>
      <c r="B288" s="1" t="s">
        <v>40</v>
      </c>
      <c r="C288" s="1" t="s">
        <v>33</v>
      </c>
      <c r="D288" s="1">
        <v>2026</v>
      </c>
      <c r="E288" s="1" t="s">
        <v>22</v>
      </c>
      <c r="F288" s="1">
        <v>120592125</v>
      </c>
      <c r="G288" s="1">
        <v>58185189</v>
      </c>
      <c r="H288" s="1">
        <v>62406936</v>
      </c>
      <c r="I288" s="1">
        <v>8473758</v>
      </c>
      <c r="J288" s="1">
        <v>453445</v>
      </c>
      <c r="K288" s="1">
        <v>7.03</v>
      </c>
      <c r="L288" s="1">
        <v>11.98</v>
      </c>
      <c r="M288" s="1">
        <v>18.32</v>
      </c>
      <c r="N288" s="1">
        <v>9.18</v>
      </c>
      <c r="O288" s="1">
        <v>20.81</v>
      </c>
      <c r="P288" s="1">
        <v>25.81</v>
      </c>
      <c r="Q288" s="1">
        <v>1672.75</v>
      </c>
      <c r="R288" s="1">
        <v>81</v>
      </c>
      <c r="S288" s="1">
        <v>69.3</v>
      </c>
    </row>
    <row r="289" spans="1:19" ht="15">
      <c r="A289" s="1">
        <v>16</v>
      </c>
      <c r="B289" s="1" t="s">
        <v>40</v>
      </c>
      <c r="C289" s="1" t="s">
        <v>33</v>
      </c>
      <c r="D289" s="1">
        <v>2026</v>
      </c>
      <c r="E289" s="1" t="s">
        <v>23</v>
      </c>
      <c r="F289" s="1">
        <v>129210609</v>
      </c>
      <c r="G289" s="1">
        <v>62546941</v>
      </c>
      <c r="H289" s="1">
        <v>66663668</v>
      </c>
      <c r="I289" s="1">
        <v>6874943</v>
      </c>
      <c r="J289" s="1">
        <v>383172</v>
      </c>
      <c r="K289" s="1">
        <v>5.32</v>
      </c>
      <c r="L289" s="1">
        <v>10.06</v>
      </c>
      <c r="M289" s="1">
        <v>19.93</v>
      </c>
      <c r="N289" s="1">
        <v>5.6</v>
      </c>
      <c r="O289" s="1">
        <v>33.770000000000003</v>
      </c>
      <c r="P289" s="1">
        <v>31.23</v>
      </c>
      <c r="Q289" s="1">
        <v>2265.16</v>
      </c>
      <c r="R289" s="1">
        <v>48</v>
      </c>
      <c r="S289" s="1">
        <v>68.400000000000006</v>
      </c>
    </row>
    <row r="290" spans="1:19" ht="15">
      <c r="A290" s="1">
        <v>17</v>
      </c>
      <c r="B290" s="1" t="s">
        <v>41</v>
      </c>
      <c r="C290" s="1" t="s">
        <v>33</v>
      </c>
      <c r="D290" s="1">
        <v>2021</v>
      </c>
      <c r="E290" s="1" t="s">
        <v>21</v>
      </c>
      <c r="F290" s="1">
        <v>86504766</v>
      </c>
      <c r="G290" s="1">
        <v>41965302</v>
      </c>
      <c r="H290" s="1">
        <v>44539464</v>
      </c>
      <c r="I290" s="1">
        <v>7840892</v>
      </c>
      <c r="J290" s="1">
        <v>494558</v>
      </c>
      <c r="K290" s="1">
        <v>9.06</v>
      </c>
      <c r="L290" s="1">
        <v>28.83</v>
      </c>
      <c r="M290" s="1">
        <v>25.05</v>
      </c>
      <c r="N290" s="1">
        <v>5.45</v>
      </c>
      <c r="O290" s="1">
        <v>28.18</v>
      </c>
      <c r="P290" s="1">
        <v>32.22</v>
      </c>
      <c r="Q290" s="1">
        <v>5895.41</v>
      </c>
      <c r="R290" s="1">
        <v>72</v>
      </c>
      <c r="S290" s="1">
        <v>68.599999999999994</v>
      </c>
    </row>
    <row r="291" spans="1:19" ht="15">
      <c r="A291" s="1">
        <v>17</v>
      </c>
      <c r="B291" s="1" t="s">
        <v>41</v>
      </c>
      <c r="C291" s="1" t="s">
        <v>33</v>
      </c>
      <c r="D291" s="1">
        <v>2021</v>
      </c>
      <c r="E291" s="1" t="s">
        <v>22</v>
      </c>
      <c r="F291" s="1">
        <v>197337209</v>
      </c>
      <c r="G291" s="1">
        <v>100167482</v>
      </c>
      <c r="H291" s="1">
        <v>97169727</v>
      </c>
      <c r="I291" s="1">
        <v>11402026</v>
      </c>
      <c r="J291" s="1">
        <v>777357</v>
      </c>
      <c r="K291" s="1">
        <v>5.78</v>
      </c>
      <c r="L291" s="1">
        <v>15.62</v>
      </c>
      <c r="M291" s="1">
        <v>24.44</v>
      </c>
      <c r="N291" s="1">
        <v>14.22</v>
      </c>
      <c r="O291" s="1">
        <v>31.86</v>
      </c>
      <c r="P291" s="1">
        <v>36.72</v>
      </c>
      <c r="Q291" s="1">
        <v>1527.82</v>
      </c>
      <c r="R291" s="1">
        <v>51</v>
      </c>
      <c r="S291" s="1">
        <v>71.7</v>
      </c>
    </row>
    <row r="292" spans="1:19" ht="15">
      <c r="A292" s="1">
        <v>17</v>
      </c>
      <c r="B292" s="1" t="s">
        <v>41</v>
      </c>
      <c r="C292" s="1" t="s">
        <v>33</v>
      </c>
      <c r="D292" s="1">
        <v>2021</v>
      </c>
      <c r="E292" s="1" t="s">
        <v>23</v>
      </c>
      <c r="F292" s="1">
        <v>177475833</v>
      </c>
      <c r="G292" s="1">
        <v>86340876</v>
      </c>
      <c r="H292" s="1">
        <v>91134957</v>
      </c>
      <c r="I292" s="1">
        <v>15051276</v>
      </c>
      <c r="J292" s="1">
        <v>947643</v>
      </c>
      <c r="K292" s="1">
        <v>8.48</v>
      </c>
      <c r="L292" s="1">
        <v>19.18</v>
      </c>
      <c r="M292" s="1">
        <v>29.86</v>
      </c>
      <c r="N292" s="1">
        <v>5.03</v>
      </c>
      <c r="O292" s="1">
        <v>38.57</v>
      </c>
      <c r="P292" s="1">
        <v>17.27</v>
      </c>
      <c r="Q292" s="1">
        <v>9357.98</v>
      </c>
      <c r="R292" s="1">
        <v>69</v>
      </c>
      <c r="S292" s="1">
        <v>63.6</v>
      </c>
    </row>
    <row r="293" spans="1:19" ht="15">
      <c r="A293" s="1">
        <v>17</v>
      </c>
      <c r="B293" s="1" t="s">
        <v>41</v>
      </c>
      <c r="C293" s="1" t="s">
        <v>33</v>
      </c>
      <c r="D293" s="1">
        <v>2022</v>
      </c>
      <c r="E293" s="1" t="s">
        <v>21</v>
      </c>
      <c r="F293" s="1">
        <v>90314100</v>
      </c>
      <c r="G293" s="1">
        <v>45508513</v>
      </c>
      <c r="H293" s="1">
        <v>44805587</v>
      </c>
      <c r="I293" s="1">
        <v>6995723</v>
      </c>
      <c r="J293" s="1">
        <v>470103</v>
      </c>
      <c r="K293" s="1">
        <v>7.75</v>
      </c>
      <c r="L293" s="1">
        <v>27.23</v>
      </c>
      <c r="M293" s="1">
        <v>21.65</v>
      </c>
      <c r="N293" s="1">
        <v>10.25</v>
      </c>
      <c r="O293" s="1">
        <v>31.76</v>
      </c>
      <c r="P293" s="1">
        <v>23.34</v>
      </c>
      <c r="Q293" s="1">
        <v>9711.5300000000007</v>
      </c>
      <c r="R293" s="1">
        <v>40</v>
      </c>
      <c r="S293" s="1">
        <v>77.5</v>
      </c>
    </row>
    <row r="294" spans="1:19" ht="15">
      <c r="A294" s="1">
        <v>17</v>
      </c>
      <c r="B294" s="1" t="s">
        <v>41</v>
      </c>
      <c r="C294" s="1" t="s">
        <v>33</v>
      </c>
      <c r="D294" s="1">
        <v>2022</v>
      </c>
      <c r="E294" s="1" t="s">
        <v>22</v>
      </c>
      <c r="F294" s="1">
        <v>48185225</v>
      </c>
      <c r="G294" s="1">
        <v>24459901</v>
      </c>
      <c r="H294" s="1">
        <v>23725324</v>
      </c>
      <c r="I294" s="1">
        <v>2926021</v>
      </c>
      <c r="J294" s="1">
        <v>129351</v>
      </c>
      <c r="K294" s="1">
        <v>6.07</v>
      </c>
      <c r="L294" s="1">
        <v>21.49</v>
      </c>
      <c r="M294" s="1">
        <v>21</v>
      </c>
      <c r="N294" s="1">
        <v>10.78</v>
      </c>
      <c r="O294" s="1">
        <v>24.73</v>
      </c>
      <c r="P294" s="1">
        <v>33.96</v>
      </c>
      <c r="Q294" s="1">
        <v>1782.18</v>
      </c>
      <c r="R294" s="1">
        <v>47</v>
      </c>
      <c r="S294" s="1">
        <v>60.2</v>
      </c>
    </row>
    <row r="295" spans="1:19" ht="15">
      <c r="A295" s="1">
        <v>17</v>
      </c>
      <c r="B295" s="1" t="s">
        <v>41</v>
      </c>
      <c r="C295" s="1" t="s">
        <v>33</v>
      </c>
      <c r="D295" s="1">
        <v>2022</v>
      </c>
      <c r="E295" s="1" t="s">
        <v>23</v>
      </c>
      <c r="F295" s="1">
        <v>26699179</v>
      </c>
      <c r="G295" s="1">
        <v>13352581</v>
      </c>
      <c r="H295" s="1">
        <v>13346598</v>
      </c>
      <c r="I295" s="1">
        <v>2470593</v>
      </c>
      <c r="J295" s="1">
        <v>116098</v>
      </c>
      <c r="K295" s="1">
        <v>9.25</v>
      </c>
      <c r="L295" s="1">
        <v>11.75</v>
      </c>
      <c r="M295" s="1">
        <v>34.659999999999997</v>
      </c>
      <c r="N295" s="1">
        <v>11.82</v>
      </c>
      <c r="O295" s="1">
        <v>25.66</v>
      </c>
      <c r="P295" s="1">
        <v>20.7</v>
      </c>
      <c r="Q295" s="1">
        <v>2225.4</v>
      </c>
      <c r="R295" s="1">
        <v>49</v>
      </c>
      <c r="S295" s="1">
        <v>62.6</v>
      </c>
    </row>
    <row r="296" spans="1:19" ht="15">
      <c r="A296" s="1">
        <v>17</v>
      </c>
      <c r="B296" s="1" t="s">
        <v>41</v>
      </c>
      <c r="C296" s="1" t="s">
        <v>33</v>
      </c>
      <c r="D296" s="1">
        <v>2023</v>
      </c>
      <c r="E296" s="1" t="s">
        <v>21</v>
      </c>
      <c r="F296" s="1">
        <v>71305789</v>
      </c>
      <c r="G296" s="1">
        <v>34556804</v>
      </c>
      <c r="H296" s="1">
        <v>36748985</v>
      </c>
      <c r="I296" s="1">
        <v>5988276</v>
      </c>
      <c r="J296" s="1">
        <v>300050</v>
      </c>
      <c r="K296" s="1">
        <v>8.4</v>
      </c>
      <c r="L296" s="1">
        <v>22.55</v>
      </c>
      <c r="M296" s="1">
        <v>19.2</v>
      </c>
      <c r="N296" s="1">
        <v>6.17</v>
      </c>
      <c r="O296" s="1">
        <v>20.010000000000002</v>
      </c>
      <c r="P296" s="1">
        <v>35.85</v>
      </c>
      <c r="Q296" s="1">
        <v>10007.27</v>
      </c>
      <c r="R296" s="1">
        <v>72</v>
      </c>
      <c r="S296" s="1">
        <v>63</v>
      </c>
    </row>
    <row r="297" spans="1:19" ht="15">
      <c r="A297" s="1">
        <v>17</v>
      </c>
      <c r="B297" s="1" t="s">
        <v>41</v>
      </c>
      <c r="C297" s="1" t="s">
        <v>33</v>
      </c>
      <c r="D297" s="1">
        <v>2023</v>
      </c>
      <c r="E297" s="1" t="s">
        <v>22</v>
      </c>
      <c r="F297" s="1">
        <v>98084165</v>
      </c>
      <c r="G297" s="1">
        <v>48867131</v>
      </c>
      <c r="H297" s="1">
        <v>49217034</v>
      </c>
      <c r="I297" s="1">
        <v>9498615</v>
      </c>
      <c r="J297" s="1">
        <v>459306</v>
      </c>
      <c r="K297" s="1">
        <v>9.68</v>
      </c>
      <c r="L297" s="1">
        <v>21.16</v>
      </c>
      <c r="M297" s="1">
        <v>10.199999999999999</v>
      </c>
      <c r="N297" s="1">
        <v>5.59</v>
      </c>
      <c r="O297" s="1">
        <v>34.76</v>
      </c>
      <c r="P297" s="1">
        <v>27.82</v>
      </c>
      <c r="Q297" s="1">
        <v>1254.82</v>
      </c>
      <c r="R297" s="1">
        <v>52</v>
      </c>
      <c r="S297" s="1">
        <v>76.599999999999994</v>
      </c>
    </row>
    <row r="298" spans="1:19" ht="15">
      <c r="A298" s="1">
        <v>17</v>
      </c>
      <c r="B298" s="1" t="s">
        <v>41</v>
      </c>
      <c r="C298" s="1" t="s">
        <v>33</v>
      </c>
      <c r="D298" s="1">
        <v>2023</v>
      </c>
      <c r="E298" s="1" t="s">
        <v>23</v>
      </c>
      <c r="F298" s="1">
        <v>15170555</v>
      </c>
      <c r="G298" s="1">
        <v>7829141</v>
      </c>
      <c r="H298" s="1">
        <v>7341414</v>
      </c>
      <c r="I298" s="1">
        <v>1507984</v>
      </c>
      <c r="J298" s="1">
        <v>116838</v>
      </c>
      <c r="K298" s="1">
        <v>9.94</v>
      </c>
      <c r="L298" s="1">
        <v>13.64</v>
      </c>
      <c r="M298" s="1">
        <v>24.81</v>
      </c>
      <c r="N298" s="1">
        <v>13.78</v>
      </c>
      <c r="O298" s="1">
        <v>32.51</v>
      </c>
      <c r="P298" s="1">
        <v>16.690000000000001</v>
      </c>
      <c r="Q298" s="1">
        <v>3500.77</v>
      </c>
      <c r="R298" s="1">
        <v>49</v>
      </c>
      <c r="S298" s="1">
        <v>75.400000000000006</v>
      </c>
    </row>
    <row r="299" spans="1:19" ht="15">
      <c r="A299" s="1">
        <v>17</v>
      </c>
      <c r="B299" s="1" t="s">
        <v>41</v>
      </c>
      <c r="C299" s="1" t="s">
        <v>33</v>
      </c>
      <c r="D299" s="1">
        <v>2024</v>
      </c>
      <c r="E299" s="1" t="s">
        <v>21</v>
      </c>
      <c r="F299" s="1">
        <v>124517442</v>
      </c>
      <c r="G299" s="1">
        <v>60582475</v>
      </c>
      <c r="H299" s="1">
        <v>63934967</v>
      </c>
      <c r="I299" s="1">
        <v>9746784</v>
      </c>
      <c r="J299" s="1">
        <v>708277</v>
      </c>
      <c r="K299" s="1">
        <v>7.83</v>
      </c>
      <c r="L299" s="1">
        <v>23.61</v>
      </c>
      <c r="M299" s="1">
        <v>16.600000000000001</v>
      </c>
      <c r="N299" s="1">
        <v>6.93</v>
      </c>
      <c r="O299" s="1">
        <v>22.21</v>
      </c>
      <c r="P299" s="1">
        <v>21.87</v>
      </c>
      <c r="Q299" s="1">
        <v>7300.67</v>
      </c>
      <c r="R299" s="1">
        <v>57</v>
      </c>
      <c r="S299" s="1">
        <v>80.900000000000006</v>
      </c>
    </row>
    <row r="300" spans="1:19" ht="15">
      <c r="A300" s="1">
        <v>17</v>
      </c>
      <c r="B300" s="1" t="s">
        <v>41</v>
      </c>
      <c r="C300" s="1" t="s">
        <v>33</v>
      </c>
      <c r="D300" s="1">
        <v>2024</v>
      </c>
      <c r="E300" s="1" t="s">
        <v>22</v>
      </c>
      <c r="F300" s="1">
        <v>38464602</v>
      </c>
      <c r="G300" s="1">
        <v>19612374</v>
      </c>
      <c r="H300" s="1">
        <v>18852228</v>
      </c>
      <c r="I300" s="1">
        <v>3749573</v>
      </c>
      <c r="J300" s="1">
        <v>181140</v>
      </c>
      <c r="K300" s="1">
        <v>9.75</v>
      </c>
      <c r="L300" s="1">
        <v>25.48</v>
      </c>
      <c r="M300" s="1">
        <v>34.81</v>
      </c>
      <c r="N300" s="1">
        <v>7.44</v>
      </c>
      <c r="O300" s="1">
        <v>30.96</v>
      </c>
      <c r="P300" s="1">
        <v>36.880000000000003</v>
      </c>
      <c r="Q300" s="1">
        <v>2088.67</v>
      </c>
      <c r="R300" s="1">
        <v>52</v>
      </c>
      <c r="S300" s="1">
        <v>61.7</v>
      </c>
    </row>
    <row r="301" spans="1:19" ht="15">
      <c r="A301" s="1">
        <v>17</v>
      </c>
      <c r="B301" s="1" t="s">
        <v>41</v>
      </c>
      <c r="C301" s="1" t="s">
        <v>33</v>
      </c>
      <c r="D301" s="1">
        <v>2024</v>
      </c>
      <c r="E301" s="1" t="s">
        <v>23</v>
      </c>
      <c r="F301" s="1">
        <v>170588023</v>
      </c>
      <c r="G301" s="1">
        <v>85935348</v>
      </c>
      <c r="H301" s="1">
        <v>84652675</v>
      </c>
      <c r="I301" s="1">
        <v>16261971</v>
      </c>
      <c r="J301" s="1">
        <v>1023093</v>
      </c>
      <c r="K301" s="1">
        <v>9.5299999999999994</v>
      </c>
      <c r="L301" s="1">
        <v>28.14</v>
      </c>
      <c r="M301" s="1">
        <v>23.05</v>
      </c>
      <c r="N301" s="1">
        <v>11.26</v>
      </c>
      <c r="O301" s="1">
        <v>36.47</v>
      </c>
      <c r="P301" s="1">
        <v>25.31</v>
      </c>
      <c r="Q301" s="1">
        <v>5168.3999999999996</v>
      </c>
      <c r="R301" s="1">
        <v>68</v>
      </c>
      <c r="S301" s="1">
        <v>76.099999999999994</v>
      </c>
    </row>
    <row r="302" spans="1:19" ht="15">
      <c r="A302" s="1">
        <v>17</v>
      </c>
      <c r="B302" s="1" t="s">
        <v>41</v>
      </c>
      <c r="C302" s="1" t="s">
        <v>33</v>
      </c>
      <c r="D302" s="1">
        <v>2025</v>
      </c>
      <c r="E302" s="1" t="s">
        <v>21</v>
      </c>
      <c r="F302" s="1">
        <v>35117850</v>
      </c>
      <c r="G302" s="1">
        <v>17505564</v>
      </c>
      <c r="H302" s="1">
        <v>17612286</v>
      </c>
      <c r="I302" s="1">
        <v>2018042</v>
      </c>
      <c r="J302" s="1">
        <v>107529</v>
      </c>
      <c r="K302" s="1">
        <v>5.75</v>
      </c>
      <c r="L302" s="1">
        <v>10.27</v>
      </c>
      <c r="M302" s="1">
        <v>11.28</v>
      </c>
      <c r="N302" s="1">
        <v>10.36</v>
      </c>
      <c r="O302" s="1">
        <v>26.11</v>
      </c>
      <c r="P302" s="1">
        <v>32.64</v>
      </c>
      <c r="Q302" s="1">
        <v>6931.79</v>
      </c>
      <c r="R302" s="1">
        <v>42</v>
      </c>
      <c r="S302" s="1">
        <v>71.2</v>
      </c>
    </row>
    <row r="303" spans="1:19" ht="15">
      <c r="A303" s="1">
        <v>17</v>
      </c>
      <c r="B303" s="1" t="s">
        <v>41</v>
      </c>
      <c r="C303" s="1" t="s">
        <v>33</v>
      </c>
      <c r="D303" s="1">
        <v>2025</v>
      </c>
      <c r="E303" s="1" t="s">
        <v>22</v>
      </c>
      <c r="F303" s="1">
        <v>95551753</v>
      </c>
      <c r="G303" s="1">
        <v>46053477</v>
      </c>
      <c r="H303" s="1">
        <v>49498276</v>
      </c>
      <c r="I303" s="1">
        <v>9248597</v>
      </c>
      <c r="J303" s="1">
        <v>316545</v>
      </c>
      <c r="K303" s="1">
        <v>9.68</v>
      </c>
      <c r="L303" s="1">
        <v>10.96</v>
      </c>
      <c r="M303" s="1">
        <v>34.04</v>
      </c>
      <c r="N303" s="1">
        <v>6.62</v>
      </c>
      <c r="O303" s="1">
        <v>29.24</v>
      </c>
      <c r="P303" s="1">
        <v>24.11</v>
      </c>
      <c r="Q303" s="1">
        <v>3589.16</v>
      </c>
      <c r="R303" s="1">
        <v>78</v>
      </c>
      <c r="S303" s="1">
        <v>71.8</v>
      </c>
    </row>
    <row r="304" spans="1:19" ht="15">
      <c r="A304" s="1">
        <v>17</v>
      </c>
      <c r="B304" s="1" t="s">
        <v>41</v>
      </c>
      <c r="C304" s="1" t="s">
        <v>33</v>
      </c>
      <c r="D304" s="1">
        <v>2025</v>
      </c>
      <c r="E304" s="1" t="s">
        <v>23</v>
      </c>
      <c r="F304" s="1">
        <v>107371004</v>
      </c>
      <c r="G304" s="1">
        <v>53360450</v>
      </c>
      <c r="H304" s="1">
        <v>54010554</v>
      </c>
      <c r="I304" s="1">
        <v>8749240</v>
      </c>
      <c r="J304" s="1">
        <v>680425</v>
      </c>
      <c r="K304" s="1">
        <v>8.15</v>
      </c>
      <c r="L304" s="1">
        <v>18.989999999999998</v>
      </c>
      <c r="M304" s="1">
        <v>18.13</v>
      </c>
      <c r="N304" s="1">
        <v>9.83</v>
      </c>
      <c r="O304" s="1">
        <v>35.94</v>
      </c>
      <c r="P304" s="1">
        <v>32.21</v>
      </c>
      <c r="Q304" s="1">
        <v>11574.21</v>
      </c>
      <c r="R304" s="1">
        <v>79</v>
      </c>
      <c r="S304" s="1">
        <v>67.8</v>
      </c>
    </row>
    <row r="305" spans="1:19" ht="15">
      <c r="A305" s="1">
        <v>17</v>
      </c>
      <c r="B305" s="1" t="s">
        <v>41</v>
      </c>
      <c r="C305" s="1" t="s">
        <v>33</v>
      </c>
      <c r="D305" s="1">
        <v>2026</v>
      </c>
      <c r="E305" s="1" t="s">
        <v>21</v>
      </c>
      <c r="F305" s="1">
        <v>47763829</v>
      </c>
      <c r="G305" s="1">
        <v>23653920</v>
      </c>
      <c r="H305" s="1">
        <v>24109909</v>
      </c>
      <c r="I305" s="1">
        <v>2423321</v>
      </c>
      <c r="J305" s="1">
        <v>150778</v>
      </c>
      <c r="K305" s="1">
        <v>5.07</v>
      </c>
      <c r="L305" s="1">
        <v>28.76</v>
      </c>
      <c r="M305" s="1">
        <v>15.96</v>
      </c>
      <c r="N305" s="1">
        <v>13.99</v>
      </c>
      <c r="O305" s="1">
        <v>36.82</v>
      </c>
      <c r="P305" s="1">
        <v>22.98</v>
      </c>
      <c r="Q305" s="1">
        <v>9513.73</v>
      </c>
      <c r="R305" s="1">
        <v>82</v>
      </c>
      <c r="S305" s="1">
        <v>67.5</v>
      </c>
    </row>
    <row r="306" spans="1:19" ht="15">
      <c r="A306" s="1">
        <v>17</v>
      </c>
      <c r="B306" s="1" t="s">
        <v>41</v>
      </c>
      <c r="C306" s="1" t="s">
        <v>33</v>
      </c>
      <c r="D306" s="1">
        <v>2026</v>
      </c>
      <c r="E306" s="1" t="s">
        <v>22</v>
      </c>
      <c r="F306" s="1">
        <v>144444557</v>
      </c>
      <c r="G306" s="1">
        <v>72221821</v>
      </c>
      <c r="H306" s="1">
        <v>72222736</v>
      </c>
      <c r="I306" s="1">
        <v>8717579</v>
      </c>
      <c r="J306" s="1">
        <v>448898</v>
      </c>
      <c r="K306" s="1">
        <v>6.04</v>
      </c>
      <c r="L306" s="1">
        <v>18.02</v>
      </c>
      <c r="M306" s="1">
        <v>11.98</v>
      </c>
      <c r="N306" s="1">
        <v>13.79</v>
      </c>
      <c r="O306" s="1">
        <v>25.91</v>
      </c>
      <c r="P306" s="1">
        <v>23.06</v>
      </c>
      <c r="Q306" s="1">
        <v>11468.15</v>
      </c>
      <c r="R306" s="1">
        <v>68</v>
      </c>
      <c r="S306" s="1">
        <v>69.099999999999994</v>
      </c>
    </row>
    <row r="307" spans="1:19" ht="15">
      <c r="A307" s="1">
        <v>17</v>
      </c>
      <c r="B307" s="1" t="s">
        <v>41</v>
      </c>
      <c r="C307" s="1" t="s">
        <v>33</v>
      </c>
      <c r="D307" s="1">
        <v>2026</v>
      </c>
      <c r="E307" s="1" t="s">
        <v>23</v>
      </c>
      <c r="F307" s="1">
        <v>66511984</v>
      </c>
      <c r="G307" s="1">
        <v>34164216</v>
      </c>
      <c r="H307" s="1">
        <v>32347768</v>
      </c>
      <c r="I307" s="1">
        <v>4474497</v>
      </c>
      <c r="J307" s="1">
        <v>347458</v>
      </c>
      <c r="K307" s="1">
        <v>6.73</v>
      </c>
      <c r="L307" s="1">
        <v>19.52</v>
      </c>
      <c r="M307" s="1">
        <v>19.46</v>
      </c>
      <c r="N307" s="1">
        <v>8.19</v>
      </c>
      <c r="O307" s="1">
        <v>26.21</v>
      </c>
      <c r="P307" s="1">
        <v>39.369999999999997</v>
      </c>
      <c r="Q307" s="1">
        <v>6107.34</v>
      </c>
      <c r="R307" s="1">
        <v>57</v>
      </c>
      <c r="S307" s="1">
        <v>61.5</v>
      </c>
    </row>
    <row r="308" spans="1:19" ht="15">
      <c r="A308" s="1">
        <v>18</v>
      </c>
      <c r="B308" s="1" t="s">
        <v>42</v>
      </c>
      <c r="C308" s="1" t="s">
        <v>33</v>
      </c>
      <c r="D308" s="1">
        <v>2021</v>
      </c>
      <c r="E308" s="1" t="s">
        <v>21</v>
      </c>
      <c r="F308" s="1">
        <v>193379839</v>
      </c>
      <c r="G308" s="1">
        <v>98848429</v>
      </c>
      <c r="H308" s="1">
        <v>94531410</v>
      </c>
      <c r="I308" s="1">
        <v>18359219</v>
      </c>
      <c r="J308" s="1">
        <v>1431860</v>
      </c>
      <c r="K308" s="1">
        <v>9.49</v>
      </c>
      <c r="L308" s="1">
        <v>11.44</v>
      </c>
      <c r="M308" s="1">
        <v>16.309999999999999</v>
      </c>
      <c r="N308" s="1">
        <v>13.29</v>
      </c>
      <c r="O308" s="1">
        <v>36.46</v>
      </c>
      <c r="P308" s="1">
        <v>35.6</v>
      </c>
      <c r="Q308" s="1">
        <v>2479.34</v>
      </c>
      <c r="R308" s="1">
        <v>43</v>
      </c>
      <c r="S308" s="1">
        <v>77.599999999999994</v>
      </c>
    </row>
    <row r="309" spans="1:19" ht="15">
      <c r="A309" s="1">
        <v>18</v>
      </c>
      <c r="B309" s="1" t="s">
        <v>42</v>
      </c>
      <c r="C309" s="1" t="s">
        <v>33</v>
      </c>
      <c r="D309" s="1">
        <v>2021</v>
      </c>
      <c r="E309" s="1" t="s">
        <v>22</v>
      </c>
      <c r="F309" s="1">
        <v>60512536</v>
      </c>
      <c r="G309" s="1">
        <v>31234539</v>
      </c>
      <c r="H309" s="1">
        <v>29277997</v>
      </c>
      <c r="I309" s="1">
        <v>4374516</v>
      </c>
      <c r="J309" s="1">
        <v>273183</v>
      </c>
      <c r="K309" s="1">
        <v>7.23</v>
      </c>
      <c r="L309" s="1">
        <v>14.03</v>
      </c>
      <c r="M309" s="1">
        <v>28.61</v>
      </c>
      <c r="N309" s="1">
        <v>5.17</v>
      </c>
      <c r="O309" s="1">
        <v>37.15</v>
      </c>
      <c r="P309" s="1">
        <v>31.84</v>
      </c>
      <c r="Q309" s="1">
        <v>4110.5600000000004</v>
      </c>
      <c r="R309" s="1">
        <v>73</v>
      </c>
      <c r="S309" s="1">
        <v>64.599999999999994</v>
      </c>
    </row>
    <row r="310" spans="1:19" ht="15">
      <c r="A310" s="1">
        <v>18</v>
      </c>
      <c r="B310" s="1" t="s">
        <v>42</v>
      </c>
      <c r="C310" s="1" t="s">
        <v>33</v>
      </c>
      <c r="D310" s="1">
        <v>2021</v>
      </c>
      <c r="E310" s="1" t="s">
        <v>23</v>
      </c>
      <c r="F310" s="1">
        <v>14957620</v>
      </c>
      <c r="G310" s="1">
        <v>7623297</v>
      </c>
      <c r="H310" s="1">
        <v>7334323</v>
      </c>
      <c r="I310" s="1">
        <v>1441722</v>
      </c>
      <c r="J310" s="1">
        <v>112731</v>
      </c>
      <c r="K310" s="1">
        <v>9.64</v>
      </c>
      <c r="L310" s="1">
        <v>20.81</v>
      </c>
      <c r="M310" s="1">
        <v>17.440000000000001</v>
      </c>
      <c r="N310" s="1">
        <v>6.25</v>
      </c>
      <c r="O310" s="1">
        <v>34.56</v>
      </c>
      <c r="P310" s="1">
        <v>29.89</v>
      </c>
      <c r="Q310" s="1">
        <v>3021.33</v>
      </c>
      <c r="R310" s="1">
        <v>61</v>
      </c>
      <c r="S310" s="1">
        <v>72.3</v>
      </c>
    </row>
    <row r="311" spans="1:19" ht="15">
      <c r="A311" s="1">
        <v>18</v>
      </c>
      <c r="B311" s="1" t="s">
        <v>42</v>
      </c>
      <c r="C311" s="1" t="s">
        <v>33</v>
      </c>
      <c r="D311" s="1">
        <v>2022</v>
      </c>
      <c r="E311" s="1" t="s">
        <v>21</v>
      </c>
      <c r="F311" s="1">
        <v>129339603</v>
      </c>
      <c r="G311" s="1">
        <v>66191463</v>
      </c>
      <c r="H311" s="1">
        <v>63148140</v>
      </c>
      <c r="I311" s="1">
        <v>7010975</v>
      </c>
      <c r="J311" s="1">
        <v>277431</v>
      </c>
      <c r="K311" s="1">
        <v>5.42</v>
      </c>
      <c r="L311" s="1">
        <v>13.6</v>
      </c>
      <c r="M311" s="1">
        <v>22.01</v>
      </c>
      <c r="N311" s="1">
        <v>8.2899999999999991</v>
      </c>
      <c r="O311" s="1">
        <v>31.85</v>
      </c>
      <c r="P311" s="1">
        <v>27.15</v>
      </c>
      <c r="Q311" s="1">
        <v>4432.42</v>
      </c>
      <c r="R311" s="1">
        <v>57</v>
      </c>
      <c r="S311" s="1">
        <v>75.8</v>
      </c>
    </row>
    <row r="312" spans="1:19" ht="15">
      <c r="A312" s="1">
        <v>18</v>
      </c>
      <c r="B312" s="1" t="s">
        <v>42</v>
      </c>
      <c r="C312" s="1" t="s">
        <v>33</v>
      </c>
      <c r="D312" s="1">
        <v>2022</v>
      </c>
      <c r="E312" s="1" t="s">
        <v>22</v>
      </c>
      <c r="F312" s="1">
        <v>43383977</v>
      </c>
      <c r="G312" s="1">
        <v>21041466</v>
      </c>
      <c r="H312" s="1">
        <v>22342511</v>
      </c>
      <c r="I312" s="1">
        <v>2986399</v>
      </c>
      <c r="J312" s="1">
        <v>179947</v>
      </c>
      <c r="K312" s="1">
        <v>6.88</v>
      </c>
      <c r="L312" s="1">
        <v>22.44</v>
      </c>
      <c r="M312" s="1">
        <v>21.49</v>
      </c>
      <c r="N312" s="1">
        <v>6.87</v>
      </c>
      <c r="O312" s="1">
        <v>36.590000000000003</v>
      </c>
      <c r="P312" s="1">
        <v>28.18</v>
      </c>
      <c r="Q312" s="1">
        <v>7859.39</v>
      </c>
      <c r="R312" s="1">
        <v>65</v>
      </c>
      <c r="S312" s="1">
        <v>79.900000000000006</v>
      </c>
    </row>
    <row r="313" spans="1:19" ht="15">
      <c r="A313" s="1">
        <v>18</v>
      </c>
      <c r="B313" s="1" t="s">
        <v>42</v>
      </c>
      <c r="C313" s="1" t="s">
        <v>33</v>
      </c>
      <c r="D313" s="1">
        <v>2022</v>
      </c>
      <c r="E313" s="1" t="s">
        <v>23</v>
      </c>
      <c r="F313" s="1">
        <v>195549699</v>
      </c>
      <c r="G313" s="1">
        <v>94805219</v>
      </c>
      <c r="H313" s="1">
        <v>100744480</v>
      </c>
      <c r="I313" s="1">
        <v>16920264</v>
      </c>
      <c r="J313" s="1">
        <v>594115</v>
      </c>
      <c r="K313" s="1">
        <v>8.65</v>
      </c>
      <c r="L313" s="1">
        <v>10.11</v>
      </c>
      <c r="M313" s="1">
        <v>34.44</v>
      </c>
      <c r="N313" s="1">
        <v>5.47</v>
      </c>
      <c r="O313" s="1">
        <v>37.21</v>
      </c>
      <c r="P313" s="1">
        <v>39.51</v>
      </c>
      <c r="Q313" s="1">
        <v>4987.5200000000004</v>
      </c>
      <c r="R313" s="1">
        <v>42</v>
      </c>
      <c r="S313" s="1">
        <v>74.3</v>
      </c>
    </row>
    <row r="314" spans="1:19" ht="15">
      <c r="A314" s="1">
        <v>18</v>
      </c>
      <c r="B314" s="1" t="s">
        <v>42</v>
      </c>
      <c r="C314" s="1" t="s">
        <v>33</v>
      </c>
      <c r="D314" s="1">
        <v>2023</v>
      </c>
      <c r="E314" s="1" t="s">
        <v>21</v>
      </c>
      <c r="F314" s="1">
        <v>148595456</v>
      </c>
      <c r="G314" s="1">
        <v>77250361</v>
      </c>
      <c r="H314" s="1">
        <v>71345095</v>
      </c>
      <c r="I314" s="1">
        <v>14077173</v>
      </c>
      <c r="J314" s="1">
        <v>627885</v>
      </c>
      <c r="K314" s="1">
        <v>9.4700000000000006</v>
      </c>
      <c r="L314" s="1">
        <v>11.49</v>
      </c>
      <c r="M314" s="1">
        <v>29.4</v>
      </c>
      <c r="N314" s="1">
        <v>15</v>
      </c>
      <c r="O314" s="1">
        <v>22.95</v>
      </c>
      <c r="P314" s="1">
        <v>37.35</v>
      </c>
      <c r="Q314" s="1">
        <v>10411.93</v>
      </c>
      <c r="R314" s="1">
        <v>45</v>
      </c>
      <c r="S314" s="1">
        <v>64.900000000000006</v>
      </c>
    </row>
    <row r="315" spans="1:19" ht="15">
      <c r="A315" s="1">
        <v>18</v>
      </c>
      <c r="B315" s="1" t="s">
        <v>42</v>
      </c>
      <c r="C315" s="1" t="s">
        <v>33</v>
      </c>
      <c r="D315" s="1">
        <v>2023</v>
      </c>
      <c r="E315" s="1" t="s">
        <v>22</v>
      </c>
      <c r="F315" s="1">
        <v>187099383</v>
      </c>
      <c r="G315" s="1">
        <v>91310803</v>
      </c>
      <c r="H315" s="1">
        <v>95788580</v>
      </c>
      <c r="I315" s="1">
        <v>11981105</v>
      </c>
      <c r="J315" s="1">
        <v>611508</v>
      </c>
      <c r="K315" s="1">
        <v>6.4</v>
      </c>
      <c r="L315" s="1">
        <v>14.15</v>
      </c>
      <c r="M315" s="1">
        <v>18.02</v>
      </c>
      <c r="N315" s="1">
        <v>10.73</v>
      </c>
      <c r="O315" s="1">
        <v>31.94</v>
      </c>
      <c r="P315" s="1">
        <v>39.979999999999997</v>
      </c>
      <c r="Q315" s="1">
        <v>2254.34</v>
      </c>
      <c r="R315" s="1">
        <v>48</v>
      </c>
      <c r="S315" s="1">
        <v>80.599999999999994</v>
      </c>
    </row>
    <row r="316" spans="1:19" ht="15">
      <c r="A316" s="1">
        <v>18</v>
      </c>
      <c r="B316" s="1" t="s">
        <v>42</v>
      </c>
      <c r="C316" s="1" t="s">
        <v>33</v>
      </c>
      <c r="D316" s="1">
        <v>2023</v>
      </c>
      <c r="E316" s="1" t="s">
        <v>23</v>
      </c>
      <c r="F316" s="1">
        <v>49219011</v>
      </c>
      <c r="G316" s="1">
        <v>24031704</v>
      </c>
      <c r="H316" s="1">
        <v>25187307</v>
      </c>
      <c r="I316" s="1">
        <v>4641382</v>
      </c>
      <c r="J316" s="1">
        <v>271986</v>
      </c>
      <c r="K316" s="1">
        <v>9.43</v>
      </c>
      <c r="L316" s="1">
        <v>23.94</v>
      </c>
      <c r="M316" s="1">
        <v>32.44</v>
      </c>
      <c r="N316" s="1">
        <v>12.65</v>
      </c>
      <c r="O316" s="1">
        <v>35.090000000000003</v>
      </c>
      <c r="P316" s="1">
        <v>23.44</v>
      </c>
      <c r="Q316" s="1">
        <v>4155.7299999999996</v>
      </c>
      <c r="R316" s="1">
        <v>60</v>
      </c>
      <c r="S316" s="1">
        <v>68.900000000000006</v>
      </c>
    </row>
    <row r="317" spans="1:19" ht="15">
      <c r="A317" s="1">
        <v>18</v>
      </c>
      <c r="B317" s="1" t="s">
        <v>42</v>
      </c>
      <c r="C317" s="1" t="s">
        <v>33</v>
      </c>
      <c r="D317" s="1">
        <v>2024</v>
      </c>
      <c r="E317" s="1" t="s">
        <v>21</v>
      </c>
      <c r="F317" s="1">
        <v>100733555</v>
      </c>
      <c r="G317" s="1">
        <v>49123125</v>
      </c>
      <c r="H317" s="1">
        <v>51610430</v>
      </c>
      <c r="I317" s="1">
        <v>8716691</v>
      </c>
      <c r="J317" s="1">
        <v>598913</v>
      </c>
      <c r="K317" s="1">
        <v>8.65</v>
      </c>
      <c r="L317" s="1">
        <v>28.28</v>
      </c>
      <c r="M317" s="1">
        <v>26.31</v>
      </c>
      <c r="N317" s="1">
        <v>10.130000000000001</v>
      </c>
      <c r="O317" s="1">
        <v>27.18</v>
      </c>
      <c r="P317" s="1">
        <v>25.06</v>
      </c>
      <c r="Q317" s="1">
        <v>9961.66</v>
      </c>
      <c r="R317" s="1">
        <v>49</v>
      </c>
      <c r="S317" s="1">
        <v>62.4</v>
      </c>
    </row>
    <row r="318" spans="1:19" ht="15">
      <c r="A318" s="1">
        <v>18</v>
      </c>
      <c r="B318" s="1" t="s">
        <v>42</v>
      </c>
      <c r="C318" s="1" t="s">
        <v>33</v>
      </c>
      <c r="D318" s="1">
        <v>2024</v>
      </c>
      <c r="E318" s="1" t="s">
        <v>22</v>
      </c>
      <c r="F318" s="1">
        <v>146931952</v>
      </c>
      <c r="G318" s="1">
        <v>74011354</v>
      </c>
      <c r="H318" s="1">
        <v>72920598</v>
      </c>
      <c r="I318" s="1">
        <v>13912146</v>
      </c>
      <c r="J318" s="1">
        <v>1004803</v>
      </c>
      <c r="K318" s="1">
        <v>9.4700000000000006</v>
      </c>
      <c r="L318" s="1">
        <v>17.579999999999998</v>
      </c>
      <c r="M318" s="1">
        <v>30.6</v>
      </c>
      <c r="N318" s="1">
        <v>13.44</v>
      </c>
      <c r="O318" s="1">
        <v>32.39</v>
      </c>
      <c r="P318" s="1">
        <v>36.92</v>
      </c>
      <c r="Q318" s="1">
        <v>2178.0100000000002</v>
      </c>
      <c r="R318" s="1">
        <v>65</v>
      </c>
      <c r="S318" s="1">
        <v>79.5</v>
      </c>
    </row>
    <row r="319" spans="1:19" ht="15">
      <c r="A319" s="1">
        <v>18</v>
      </c>
      <c r="B319" s="1" t="s">
        <v>42</v>
      </c>
      <c r="C319" s="1" t="s">
        <v>33</v>
      </c>
      <c r="D319" s="1">
        <v>2024</v>
      </c>
      <c r="E319" s="1" t="s">
        <v>23</v>
      </c>
      <c r="F319" s="1">
        <v>187474423</v>
      </c>
      <c r="G319" s="1">
        <v>93017889</v>
      </c>
      <c r="H319" s="1">
        <v>94456534</v>
      </c>
      <c r="I319" s="1">
        <v>16866420</v>
      </c>
      <c r="J319" s="1">
        <v>930244</v>
      </c>
      <c r="K319" s="1">
        <v>9</v>
      </c>
      <c r="L319" s="1">
        <v>25.82</v>
      </c>
      <c r="M319" s="1">
        <v>18.14</v>
      </c>
      <c r="N319" s="1">
        <v>11.56</v>
      </c>
      <c r="O319" s="1">
        <v>21.4</v>
      </c>
      <c r="P319" s="1">
        <v>39.520000000000003</v>
      </c>
      <c r="Q319" s="1">
        <v>8713.44</v>
      </c>
      <c r="R319" s="1">
        <v>66</v>
      </c>
      <c r="S319" s="1">
        <v>75.099999999999994</v>
      </c>
    </row>
    <row r="320" spans="1:19" ht="15">
      <c r="A320" s="1">
        <v>18</v>
      </c>
      <c r="B320" s="1" t="s">
        <v>42</v>
      </c>
      <c r="C320" s="1" t="s">
        <v>33</v>
      </c>
      <c r="D320" s="1">
        <v>2025</v>
      </c>
      <c r="E320" s="1" t="s">
        <v>21</v>
      </c>
      <c r="F320" s="1">
        <v>181289217</v>
      </c>
      <c r="G320" s="1">
        <v>91951713</v>
      </c>
      <c r="H320" s="1">
        <v>89337504</v>
      </c>
      <c r="I320" s="1">
        <v>17229481</v>
      </c>
      <c r="J320" s="1">
        <v>1374983</v>
      </c>
      <c r="K320" s="1">
        <v>9.5</v>
      </c>
      <c r="L320" s="1">
        <v>17.440000000000001</v>
      </c>
      <c r="M320" s="1">
        <v>17.399999999999999</v>
      </c>
      <c r="N320" s="1">
        <v>12.52</v>
      </c>
      <c r="O320" s="1">
        <v>29.63</v>
      </c>
      <c r="P320" s="1">
        <v>39.99</v>
      </c>
      <c r="Q320" s="1">
        <v>6966.23</v>
      </c>
      <c r="R320" s="1">
        <v>75</v>
      </c>
      <c r="S320" s="1">
        <v>61</v>
      </c>
    </row>
    <row r="321" spans="1:19" ht="15">
      <c r="A321" s="1">
        <v>18</v>
      </c>
      <c r="B321" s="1" t="s">
        <v>42</v>
      </c>
      <c r="C321" s="1" t="s">
        <v>33</v>
      </c>
      <c r="D321" s="1">
        <v>2025</v>
      </c>
      <c r="E321" s="1" t="s">
        <v>22</v>
      </c>
      <c r="F321" s="1">
        <v>22573761</v>
      </c>
      <c r="G321" s="1">
        <v>11512724</v>
      </c>
      <c r="H321" s="1">
        <v>11061037</v>
      </c>
      <c r="I321" s="1">
        <v>1519134</v>
      </c>
      <c r="J321" s="1">
        <v>66608</v>
      </c>
      <c r="K321" s="1">
        <v>6.73</v>
      </c>
      <c r="L321" s="1">
        <v>23.51</v>
      </c>
      <c r="M321" s="1">
        <v>16.03</v>
      </c>
      <c r="N321" s="1">
        <v>8.74</v>
      </c>
      <c r="O321" s="1">
        <v>27.58</v>
      </c>
      <c r="P321" s="1">
        <v>34.49</v>
      </c>
      <c r="Q321" s="1">
        <v>8777.1299999999992</v>
      </c>
      <c r="R321" s="1">
        <v>49</v>
      </c>
      <c r="S321" s="1">
        <v>66.400000000000006</v>
      </c>
    </row>
    <row r="322" spans="1:19" ht="15">
      <c r="A322" s="1">
        <v>18</v>
      </c>
      <c r="B322" s="1" t="s">
        <v>42</v>
      </c>
      <c r="C322" s="1" t="s">
        <v>33</v>
      </c>
      <c r="D322" s="1">
        <v>2025</v>
      </c>
      <c r="E322" s="1" t="s">
        <v>23</v>
      </c>
      <c r="F322" s="1">
        <v>184214984</v>
      </c>
      <c r="G322" s="1">
        <v>95763108</v>
      </c>
      <c r="H322" s="1">
        <v>88451876</v>
      </c>
      <c r="I322" s="1">
        <v>14202955</v>
      </c>
      <c r="J322" s="1">
        <v>683519</v>
      </c>
      <c r="K322" s="1">
        <v>7.71</v>
      </c>
      <c r="L322" s="1">
        <v>28.82</v>
      </c>
      <c r="M322" s="1">
        <v>14.43</v>
      </c>
      <c r="N322" s="1">
        <v>14.61</v>
      </c>
      <c r="O322" s="1">
        <v>20.440000000000001</v>
      </c>
      <c r="P322" s="1">
        <v>18.989999999999998</v>
      </c>
      <c r="Q322" s="1">
        <v>6721.77</v>
      </c>
      <c r="R322" s="1">
        <v>52</v>
      </c>
      <c r="S322" s="1">
        <v>76.8</v>
      </c>
    </row>
    <row r="323" spans="1:19" ht="15">
      <c r="A323" s="1">
        <v>18</v>
      </c>
      <c r="B323" s="1" t="s">
        <v>42</v>
      </c>
      <c r="C323" s="1" t="s">
        <v>33</v>
      </c>
      <c r="D323" s="1">
        <v>2026</v>
      </c>
      <c r="E323" s="1" t="s">
        <v>21</v>
      </c>
      <c r="F323" s="1">
        <v>54842251</v>
      </c>
      <c r="G323" s="1">
        <v>27623432</v>
      </c>
      <c r="H323" s="1">
        <v>27218819</v>
      </c>
      <c r="I323" s="1">
        <v>3428472</v>
      </c>
      <c r="J323" s="1">
        <v>180113</v>
      </c>
      <c r="K323" s="1">
        <v>6.25</v>
      </c>
      <c r="L323" s="1">
        <v>10.3</v>
      </c>
      <c r="M323" s="1">
        <v>32.65</v>
      </c>
      <c r="N323" s="1">
        <v>5.51</v>
      </c>
      <c r="O323" s="1">
        <v>26.38</v>
      </c>
      <c r="P323" s="1">
        <v>37.659999999999997</v>
      </c>
      <c r="Q323" s="1">
        <v>6457.18</v>
      </c>
      <c r="R323" s="1">
        <v>68</v>
      </c>
      <c r="S323" s="1">
        <v>74.900000000000006</v>
      </c>
    </row>
    <row r="324" spans="1:19" ht="15">
      <c r="A324" s="1">
        <v>18</v>
      </c>
      <c r="B324" s="1" t="s">
        <v>42</v>
      </c>
      <c r="C324" s="1" t="s">
        <v>33</v>
      </c>
      <c r="D324" s="1">
        <v>2026</v>
      </c>
      <c r="E324" s="1" t="s">
        <v>22</v>
      </c>
      <c r="F324" s="1">
        <v>109461960</v>
      </c>
      <c r="G324" s="1">
        <v>55604249</v>
      </c>
      <c r="H324" s="1">
        <v>53857711</v>
      </c>
      <c r="I324" s="1">
        <v>7238806</v>
      </c>
      <c r="J324" s="1">
        <v>260006</v>
      </c>
      <c r="K324" s="1">
        <v>6.61</v>
      </c>
      <c r="L324" s="1">
        <v>22.4</v>
      </c>
      <c r="M324" s="1">
        <v>21.75</v>
      </c>
      <c r="N324" s="1">
        <v>11.11</v>
      </c>
      <c r="O324" s="1">
        <v>39.130000000000003</v>
      </c>
      <c r="P324" s="1">
        <v>29.24</v>
      </c>
      <c r="Q324" s="1">
        <v>2760.22</v>
      </c>
      <c r="R324" s="1">
        <v>41</v>
      </c>
      <c r="S324" s="1">
        <v>80.2</v>
      </c>
    </row>
    <row r="325" spans="1:19" ht="15">
      <c r="A325" s="1">
        <v>18</v>
      </c>
      <c r="B325" s="1" t="s">
        <v>42</v>
      </c>
      <c r="C325" s="1" t="s">
        <v>33</v>
      </c>
      <c r="D325" s="1">
        <v>2026</v>
      </c>
      <c r="E325" s="1" t="s">
        <v>23</v>
      </c>
      <c r="F325" s="1">
        <v>68061768</v>
      </c>
      <c r="G325" s="1">
        <v>33380155</v>
      </c>
      <c r="H325" s="1">
        <v>34681613</v>
      </c>
      <c r="I325" s="1">
        <v>4441016</v>
      </c>
      <c r="J325" s="1">
        <v>342663</v>
      </c>
      <c r="K325" s="1">
        <v>6.52</v>
      </c>
      <c r="L325" s="1">
        <v>19.579999999999998</v>
      </c>
      <c r="M325" s="1">
        <v>27.12</v>
      </c>
      <c r="N325" s="1">
        <v>14.33</v>
      </c>
      <c r="O325" s="1">
        <v>37.15</v>
      </c>
      <c r="P325" s="1">
        <v>15.55</v>
      </c>
      <c r="Q325" s="1">
        <v>6262.74</v>
      </c>
      <c r="R325" s="1">
        <v>50</v>
      </c>
      <c r="S325" s="1">
        <v>63.2</v>
      </c>
    </row>
    <row r="326" spans="1:19" ht="15">
      <c r="A326" s="1">
        <v>19</v>
      </c>
      <c r="B326" s="1" t="s">
        <v>43</v>
      </c>
      <c r="C326" s="1" t="s">
        <v>33</v>
      </c>
      <c r="D326" s="1">
        <v>2021</v>
      </c>
      <c r="E326" s="1" t="s">
        <v>21</v>
      </c>
      <c r="F326" s="1">
        <v>137113223</v>
      </c>
      <c r="G326" s="1">
        <v>66793622</v>
      </c>
      <c r="H326" s="1">
        <v>70319601</v>
      </c>
      <c r="I326" s="1">
        <v>12170611</v>
      </c>
      <c r="J326" s="1">
        <v>814292</v>
      </c>
      <c r="K326" s="1">
        <v>8.8800000000000008</v>
      </c>
      <c r="L326" s="1">
        <v>29.65</v>
      </c>
      <c r="M326" s="1">
        <v>11.42</v>
      </c>
      <c r="N326" s="1">
        <v>5.5</v>
      </c>
      <c r="O326" s="1">
        <v>39.78</v>
      </c>
      <c r="P326" s="1">
        <v>32.619999999999997</v>
      </c>
      <c r="Q326" s="1">
        <v>1622.84</v>
      </c>
      <c r="R326" s="1">
        <v>80</v>
      </c>
      <c r="S326" s="1">
        <v>74.900000000000006</v>
      </c>
    </row>
    <row r="327" spans="1:19" ht="15">
      <c r="A327" s="1">
        <v>19</v>
      </c>
      <c r="B327" s="1" t="s">
        <v>43</v>
      </c>
      <c r="C327" s="1" t="s">
        <v>33</v>
      </c>
      <c r="D327" s="1">
        <v>2021</v>
      </c>
      <c r="E327" s="1" t="s">
        <v>22</v>
      </c>
      <c r="F327" s="1">
        <v>132789134</v>
      </c>
      <c r="G327" s="1">
        <v>67383192</v>
      </c>
      <c r="H327" s="1">
        <v>65405942</v>
      </c>
      <c r="I327" s="1">
        <v>12147471</v>
      </c>
      <c r="J327" s="1">
        <v>808140</v>
      </c>
      <c r="K327" s="1">
        <v>9.15</v>
      </c>
      <c r="L327" s="1">
        <v>21.04</v>
      </c>
      <c r="M327" s="1">
        <v>19.399999999999999</v>
      </c>
      <c r="N327" s="1">
        <v>6.98</v>
      </c>
      <c r="O327" s="1">
        <v>39.68</v>
      </c>
      <c r="P327" s="1">
        <v>26.18</v>
      </c>
      <c r="Q327" s="1">
        <v>3619.57</v>
      </c>
      <c r="R327" s="1">
        <v>51</v>
      </c>
      <c r="S327" s="1">
        <v>75.5</v>
      </c>
    </row>
    <row r="328" spans="1:19" ht="15">
      <c r="A328" s="1">
        <v>19</v>
      </c>
      <c r="B328" s="1" t="s">
        <v>43</v>
      </c>
      <c r="C328" s="1" t="s">
        <v>33</v>
      </c>
      <c r="D328" s="1">
        <v>2021</v>
      </c>
      <c r="E328" s="1" t="s">
        <v>23</v>
      </c>
      <c r="F328" s="1">
        <v>130523183</v>
      </c>
      <c r="G328" s="1">
        <v>65756233</v>
      </c>
      <c r="H328" s="1">
        <v>64766950</v>
      </c>
      <c r="I328" s="1">
        <v>12254535</v>
      </c>
      <c r="J328" s="1">
        <v>739683</v>
      </c>
      <c r="K328" s="1">
        <v>9.39</v>
      </c>
      <c r="L328" s="1">
        <v>17.64</v>
      </c>
      <c r="M328" s="1">
        <v>12.33</v>
      </c>
      <c r="N328" s="1">
        <v>6.21</v>
      </c>
      <c r="O328" s="1">
        <v>29.88</v>
      </c>
      <c r="P328" s="1">
        <v>21.53</v>
      </c>
      <c r="Q328" s="1">
        <v>2152.2600000000002</v>
      </c>
      <c r="R328" s="1">
        <v>45</v>
      </c>
      <c r="S328" s="1">
        <v>70.400000000000006</v>
      </c>
    </row>
    <row r="329" spans="1:19" ht="15">
      <c r="A329" s="1">
        <v>19</v>
      </c>
      <c r="B329" s="1" t="s">
        <v>43</v>
      </c>
      <c r="C329" s="1" t="s">
        <v>33</v>
      </c>
      <c r="D329" s="1">
        <v>2022</v>
      </c>
      <c r="E329" s="1" t="s">
        <v>21</v>
      </c>
      <c r="F329" s="1">
        <v>166351673</v>
      </c>
      <c r="G329" s="1">
        <v>84696268</v>
      </c>
      <c r="H329" s="1">
        <v>81655405</v>
      </c>
      <c r="I329" s="1">
        <v>15399055</v>
      </c>
      <c r="J329" s="1">
        <v>503594</v>
      </c>
      <c r="K329" s="1">
        <v>9.26</v>
      </c>
      <c r="L329" s="1">
        <v>29.13</v>
      </c>
      <c r="M329" s="1">
        <v>23.85</v>
      </c>
      <c r="N329" s="1">
        <v>8.3000000000000007</v>
      </c>
      <c r="O329" s="1">
        <v>29.72</v>
      </c>
      <c r="P329" s="1">
        <v>20.58</v>
      </c>
      <c r="Q329" s="1">
        <v>4320.93</v>
      </c>
      <c r="R329" s="1">
        <v>51</v>
      </c>
      <c r="S329" s="1">
        <v>64.400000000000006</v>
      </c>
    </row>
    <row r="330" spans="1:19" ht="15">
      <c r="A330" s="1">
        <v>19</v>
      </c>
      <c r="B330" s="1" t="s">
        <v>43</v>
      </c>
      <c r="C330" s="1" t="s">
        <v>33</v>
      </c>
      <c r="D330" s="1">
        <v>2022</v>
      </c>
      <c r="E330" s="1" t="s">
        <v>22</v>
      </c>
      <c r="F330" s="1">
        <v>122309101</v>
      </c>
      <c r="G330" s="1">
        <v>60911693</v>
      </c>
      <c r="H330" s="1">
        <v>61397408</v>
      </c>
      <c r="I330" s="1">
        <v>7849014</v>
      </c>
      <c r="J330" s="1">
        <v>541384</v>
      </c>
      <c r="K330" s="1">
        <v>6.42</v>
      </c>
      <c r="L330" s="1">
        <v>14.8</v>
      </c>
      <c r="M330" s="1">
        <v>28.24</v>
      </c>
      <c r="N330" s="1">
        <v>5.13</v>
      </c>
      <c r="O330" s="1">
        <v>28.77</v>
      </c>
      <c r="P330" s="1">
        <v>26.84</v>
      </c>
      <c r="Q330" s="1">
        <v>5170.9399999999996</v>
      </c>
      <c r="R330" s="1">
        <v>83</v>
      </c>
      <c r="S330" s="1">
        <v>79.400000000000006</v>
      </c>
    </row>
    <row r="331" spans="1:19" ht="15">
      <c r="A331" s="1">
        <v>19</v>
      </c>
      <c r="B331" s="1" t="s">
        <v>43</v>
      </c>
      <c r="C331" s="1" t="s">
        <v>33</v>
      </c>
      <c r="D331" s="1">
        <v>2022</v>
      </c>
      <c r="E331" s="1" t="s">
        <v>23</v>
      </c>
      <c r="F331" s="1">
        <v>104261639</v>
      </c>
      <c r="G331" s="1">
        <v>52226514</v>
      </c>
      <c r="H331" s="1">
        <v>52035125</v>
      </c>
      <c r="I331" s="1">
        <v>9472930</v>
      </c>
      <c r="J331" s="1">
        <v>629792</v>
      </c>
      <c r="K331" s="1">
        <v>9.09</v>
      </c>
      <c r="L331" s="1">
        <v>13.92</v>
      </c>
      <c r="M331" s="1">
        <v>17.46</v>
      </c>
      <c r="N331" s="1">
        <v>6.58</v>
      </c>
      <c r="O331" s="1">
        <v>35.58</v>
      </c>
      <c r="P331" s="1">
        <v>17.41</v>
      </c>
      <c r="Q331" s="1">
        <v>10349.02</v>
      </c>
      <c r="R331" s="1">
        <v>69</v>
      </c>
      <c r="S331" s="1">
        <v>69.900000000000006</v>
      </c>
    </row>
    <row r="332" spans="1:19" ht="15">
      <c r="A332" s="1">
        <v>19</v>
      </c>
      <c r="B332" s="1" t="s">
        <v>43</v>
      </c>
      <c r="C332" s="1" t="s">
        <v>33</v>
      </c>
      <c r="D332" s="1">
        <v>2023</v>
      </c>
      <c r="E332" s="1" t="s">
        <v>21</v>
      </c>
      <c r="F332" s="1">
        <v>111433229</v>
      </c>
      <c r="G332" s="1">
        <v>55996830</v>
      </c>
      <c r="H332" s="1">
        <v>55436399</v>
      </c>
      <c r="I332" s="1">
        <v>8567887</v>
      </c>
      <c r="J332" s="1">
        <v>522461</v>
      </c>
      <c r="K332" s="1">
        <v>7.69</v>
      </c>
      <c r="L332" s="1">
        <v>20.85</v>
      </c>
      <c r="M332" s="1">
        <v>17.649999999999999</v>
      </c>
      <c r="N332" s="1">
        <v>13.99</v>
      </c>
      <c r="O332" s="1">
        <v>32.340000000000003</v>
      </c>
      <c r="P332" s="1">
        <v>39.89</v>
      </c>
      <c r="Q332" s="1">
        <v>2001.51</v>
      </c>
      <c r="R332" s="1">
        <v>71</v>
      </c>
      <c r="S332" s="1">
        <v>74.400000000000006</v>
      </c>
    </row>
    <row r="333" spans="1:19" ht="15">
      <c r="A333" s="1">
        <v>19</v>
      </c>
      <c r="B333" s="1" t="s">
        <v>43</v>
      </c>
      <c r="C333" s="1" t="s">
        <v>33</v>
      </c>
      <c r="D333" s="1">
        <v>2023</v>
      </c>
      <c r="E333" s="1" t="s">
        <v>22</v>
      </c>
      <c r="F333" s="1">
        <v>188336546</v>
      </c>
      <c r="G333" s="1">
        <v>95516136</v>
      </c>
      <c r="H333" s="1">
        <v>92820410</v>
      </c>
      <c r="I333" s="1">
        <v>18280076</v>
      </c>
      <c r="J333" s="1">
        <v>605494</v>
      </c>
      <c r="K333" s="1">
        <v>9.7100000000000009</v>
      </c>
      <c r="L333" s="1">
        <v>13.78</v>
      </c>
      <c r="M333" s="1">
        <v>24.27</v>
      </c>
      <c r="N333" s="1">
        <v>7.98</v>
      </c>
      <c r="O333" s="1">
        <v>20.329999999999998</v>
      </c>
      <c r="P333" s="1">
        <v>22.28</v>
      </c>
      <c r="Q333" s="1">
        <v>8442.16</v>
      </c>
      <c r="R333" s="1">
        <v>65</v>
      </c>
      <c r="S333" s="1">
        <v>60.6</v>
      </c>
    </row>
    <row r="334" spans="1:19" ht="15">
      <c r="A334" s="1">
        <v>19</v>
      </c>
      <c r="B334" s="1" t="s">
        <v>43</v>
      </c>
      <c r="C334" s="1" t="s">
        <v>33</v>
      </c>
      <c r="D334" s="1">
        <v>2023</v>
      </c>
      <c r="E334" s="1" t="s">
        <v>23</v>
      </c>
      <c r="F334" s="1">
        <v>136812476</v>
      </c>
      <c r="G334" s="1">
        <v>67439669</v>
      </c>
      <c r="H334" s="1">
        <v>69372807</v>
      </c>
      <c r="I334" s="1">
        <v>12703651</v>
      </c>
      <c r="J334" s="1">
        <v>795723</v>
      </c>
      <c r="K334" s="1">
        <v>9.2899999999999991</v>
      </c>
      <c r="L334" s="1">
        <v>22.38</v>
      </c>
      <c r="M334" s="1">
        <v>34.340000000000003</v>
      </c>
      <c r="N334" s="1">
        <v>8.2899999999999991</v>
      </c>
      <c r="O334" s="1">
        <v>21.66</v>
      </c>
      <c r="P334" s="1">
        <v>30.5</v>
      </c>
      <c r="Q334" s="1">
        <v>7861.54</v>
      </c>
      <c r="R334" s="1">
        <v>59</v>
      </c>
      <c r="S334" s="1">
        <v>82</v>
      </c>
    </row>
    <row r="335" spans="1:19" ht="15">
      <c r="A335" s="1">
        <v>19</v>
      </c>
      <c r="B335" s="1" t="s">
        <v>43</v>
      </c>
      <c r="C335" s="1" t="s">
        <v>33</v>
      </c>
      <c r="D335" s="1">
        <v>2024</v>
      </c>
      <c r="E335" s="1" t="s">
        <v>21</v>
      </c>
      <c r="F335" s="1">
        <v>110070094</v>
      </c>
      <c r="G335" s="1">
        <v>55829693</v>
      </c>
      <c r="H335" s="1">
        <v>54240401</v>
      </c>
      <c r="I335" s="1">
        <v>5876653</v>
      </c>
      <c r="J335" s="1">
        <v>366597</v>
      </c>
      <c r="K335" s="1">
        <v>5.34</v>
      </c>
      <c r="L335" s="1">
        <v>11.33</v>
      </c>
      <c r="M335" s="1">
        <v>24.26</v>
      </c>
      <c r="N335" s="1">
        <v>10.029999999999999</v>
      </c>
      <c r="O335" s="1">
        <v>20.059999999999999</v>
      </c>
      <c r="P335" s="1">
        <v>19.91</v>
      </c>
      <c r="Q335" s="1">
        <v>5313.26</v>
      </c>
      <c r="R335" s="1">
        <v>40</v>
      </c>
      <c r="S335" s="1">
        <v>63.1</v>
      </c>
    </row>
    <row r="336" spans="1:19" ht="15">
      <c r="A336" s="1">
        <v>19</v>
      </c>
      <c r="B336" s="1" t="s">
        <v>43</v>
      </c>
      <c r="C336" s="1" t="s">
        <v>33</v>
      </c>
      <c r="D336" s="1">
        <v>2024</v>
      </c>
      <c r="E336" s="1" t="s">
        <v>22</v>
      </c>
      <c r="F336" s="1">
        <v>64554342</v>
      </c>
      <c r="G336" s="1">
        <v>32578856</v>
      </c>
      <c r="H336" s="1">
        <v>31975486</v>
      </c>
      <c r="I336" s="1">
        <v>6272224</v>
      </c>
      <c r="J336" s="1">
        <v>200430</v>
      </c>
      <c r="K336" s="1">
        <v>9.7200000000000006</v>
      </c>
      <c r="L336" s="1">
        <v>25.41</v>
      </c>
      <c r="M336" s="1">
        <v>18.829999999999998</v>
      </c>
      <c r="N336" s="1">
        <v>7.72</v>
      </c>
      <c r="O336" s="1">
        <v>35.880000000000003</v>
      </c>
      <c r="P336" s="1">
        <v>38.29</v>
      </c>
      <c r="Q336" s="1">
        <v>11788.43</v>
      </c>
      <c r="R336" s="1">
        <v>52</v>
      </c>
      <c r="S336" s="1">
        <v>62.9</v>
      </c>
    </row>
    <row r="337" spans="1:19" ht="15">
      <c r="A337" s="1">
        <v>19</v>
      </c>
      <c r="B337" s="1" t="s">
        <v>43</v>
      </c>
      <c r="C337" s="1" t="s">
        <v>33</v>
      </c>
      <c r="D337" s="1">
        <v>2024</v>
      </c>
      <c r="E337" s="1" t="s">
        <v>23</v>
      </c>
      <c r="F337" s="1">
        <v>186696542</v>
      </c>
      <c r="G337" s="1">
        <v>89698681</v>
      </c>
      <c r="H337" s="1">
        <v>96997861</v>
      </c>
      <c r="I337" s="1">
        <v>16313172</v>
      </c>
      <c r="J337" s="1">
        <v>1112604</v>
      </c>
      <c r="K337" s="1">
        <v>8.74</v>
      </c>
      <c r="L337" s="1">
        <v>12.98</v>
      </c>
      <c r="M337" s="1">
        <v>24.32</v>
      </c>
      <c r="N337" s="1">
        <v>11.44</v>
      </c>
      <c r="O337" s="1">
        <v>27.65</v>
      </c>
      <c r="P337" s="1">
        <v>19.23</v>
      </c>
      <c r="Q337" s="1">
        <v>4408.8500000000004</v>
      </c>
      <c r="R337" s="1">
        <v>52</v>
      </c>
      <c r="S337" s="1">
        <v>60.2</v>
      </c>
    </row>
    <row r="338" spans="1:19" ht="15">
      <c r="A338" s="1">
        <v>19</v>
      </c>
      <c r="B338" s="1" t="s">
        <v>43</v>
      </c>
      <c r="C338" s="1" t="s">
        <v>33</v>
      </c>
      <c r="D338" s="1">
        <v>2025</v>
      </c>
      <c r="E338" s="1" t="s">
        <v>21</v>
      </c>
      <c r="F338" s="1">
        <v>57041669</v>
      </c>
      <c r="G338" s="1">
        <v>28009084</v>
      </c>
      <c r="H338" s="1">
        <v>29032585</v>
      </c>
      <c r="I338" s="1">
        <v>3561213</v>
      </c>
      <c r="J338" s="1">
        <v>227140</v>
      </c>
      <c r="K338" s="1">
        <v>6.24</v>
      </c>
      <c r="L338" s="1">
        <v>22.75</v>
      </c>
      <c r="M338" s="1">
        <v>26.89</v>
      </c>
      <c r="N338" s="1">
        <v>7.93</v>
      </c>
      <c r="O338" s="1">
        <v>31.89</v>
      </c>
      <c r="P338" s="1">
        <v>18.010000000000002</v>
      </c>
      <c r="Q338" s="1">
        <v>9292.1299999999992</v>
      </c>
      <c r="R338" s="1">
        <v>68</v>
      </c>
      <c r="S338" s="1">
        <v>77.599999999999994</v>
      </c>
    </row>
    <row r="339" spans="1:19" ht="15">
      <c r="A339" s="1">
        <v>19</v>
      </c>
      <c r="B339" s="1" t="s">
        <v>43</v>
      </c>
      <c r="C339" s="1" t="s">
        <v>33</v>
      </c>
      <c r="D339" s="1">
        <v>2025</v>
      </c>
      <c r="E339" s="1" t="s">
        <v>22</v>
      </c>
      <c r="F339" s="1">
        <v>188048621</v>
      </c>
      <c r="G339" s="1">
        <v>95764674</v>
      </c>
      <c r="H339" s="1">
        <v>92283947</v>
      </c>
      <c r="I339" s="1">
        <v>14778468</v>
      </c>
      <c r="J339" s="1">
        <v>1006811</v>
      </c>
      <c r="K339" s="1">
        <v>7.86</v>
      </c>
      <c r="L339" s="1">
        <v>19.28</v>
      </c>
      <c r="M339" s="1">
        <v>16.440000000000001</v>
      </c>
      <c r="N339" s="1">
        <v>12.79</v>
      </c>
      <c r="O339" s="1">
        <v>30.34</v>
      </c>
      <c r="P339" s="1">
        <v>38.130000000000003</v>
      </c>
      <c r="Q339" s="1">
        <v>7247.13</v>
      </c>
      <c r="R339" s="1">
        <v>61</v>
      </c>
      <c r="S339" s="1">
        <v>60.9</v>
      </c>
    </row>
    <row r="340" spans="1:19" ht="15">
      <c r="A340" s="1">
        <v>19</v>
      </c>
      <c r="B340" s="1" t="s">
        <v>43</v>
      </c>
      <c r="C340" s="1" t="s">
        <v>33</v>
      </c>
      <c r="D340" s="1">
        <v>2025</v>
      </c>
      <c r="E340" s="1" t="s">
        <v>23</v>
      </c>
      <c r="F340" s="1">
        <v>107264912</v>
      </c>
      <c r="G340" s="1">
        <v>52435982</v>
      </c>
      <c r="H340" s="1">
        <v>54828930</v>
      </c>
      <c r="I340" s="1">
        <v>9217603</v>
      </c>
      <c r="J340" s="1">
        <v>478799</v>
      </c>
      <c r="K340" s="1">
        <v>8.59</v>
      </c>
      <c r="L340" s="1">
        <v>28.51</v>
      </c>
      <c r="M340" s="1">
        <v>25.38</v>
      </c>
      <c r="N340" s="1">
        <v>7.64</v>
      </c>
      <c r="O340" s="1">
        <v>24.9</v>
      </c>
      <c r="P340" s="1">
        <v>22.29</v>
      </c>
      <c r="Q340" s="1">
        <v>2996.67</v>
      </c>
      <c r="R340" s="1">
        <v>52</v>
      </c>
      <c r="S340" s="1">
        <v>61.9</v>
      </c>
    </row>
    <row r="341" spans="1:19" ht="15">
      <c r="A341" s="1">
        <v>19</v>
      </c>
      <c r="B341" s="1" t="s">
        <v>43</v>
      </c>
      <c r="C341" s="1" t="s">
        <v>33</v>
      </c>
      <c r="D341" s="1">
        <v>2026</v>
      </c>
      <c r="E341" s="1" t="s">
        <v>21</v>
      </c>
      <c r="F341" s="1">
        <v>106790872</v>
      </c>
      <c r="G341" s="1">
        <v>53730371</v>
      </c>
      <c r="H341" s="1">
        <v>53060501</v>
      </c>
      <c r="I341" s="1">
        <v>7630037</v>
      </c>
      <c r="J341" s="1">
        <v>564178</v>
      </c>
      <c r="K341" s="1">
        <v>7.14</v>
      </c>
      <c r="L341" s="1">
        <v>27.81</v>
      </c>
      <c r="M341" s="1">
        <v>17.43</v>
      </c>
      <c r="N341" s="1">
        <v>6.91</v>
      </c>
      <c r="O341" s="1">
        <v>28.44</v>
      </c>
      <c r="P341" s="1">
        <v>27.66</v>
      </c>
      <c r="Q341" s="1">
        <v>8676.25</v>
      </c>
      <c r="R341" s="1">
        <v>44</v>
      </c>
      <c r="S341" s="1">
        <v>80.599999999999994</v>
      </c>
    </row>
    <row r="342" spans="1:19" ht="15">
      <c r="A342" s="1">
        <v>19</v>
      </c>
      <c r="B342" s="1" t="s">
        <v>43</v>
      </c>
      <c r="C342" s="1" t="s">
        <v>33</v>
      </c>
      <c r="D342" s="1">
        <v>2026</v>
      </c>
      <c r="E342" s="1" t="s">
        <v>22</v>
      </c>
      <c r="F342" s="1">
        <v>194174291</v>
      </c>
      <c r="G342" s="1">
        <v>96286368</v>
      </c>
      <c r="H342" s="1">
        <v>97887923</v>
      </c>
      <c r="I342" s="1">
        <v>15039579</v>
      </c>
      <c r="J342" s="1">
        <v>888192</v>
      </c>
      <c r="K342" s="1">
        <v>7.75</v>
      </c>
      <c r="L342" s="1">
        <v>27.58</v>
      </c>
      <c r="M342" s="1">
        <v>12.64</v>
      </c>
      <c r="N342" s="1">
        <v>13.16</v>
      </c>
      <c r="O342" s="1">
        <v>25.25</v>
      </c>
      <c r="P342" s="1">
        <v>17.690000000000001</v>
      </c>
      <c r="Q342" s="1">
        <v>11771.82</v>
      </c>
      <c r="R342" s="1">
        <v>78</v>
      </c>
      <c r="S342" s="1">
        <v>77.2</v>
      </c>
    </row>
    <row r="343" spans="1:19" ht="15">
      <c r="A343" s="1">
        <v>19</v>
      </c>
      <c r="B343" s="1" t="s">
        <v>43</v>
      </c>
      <c r="C343" s="1" t="s">
        <v>33</v>
      </c>
      <c r="D343" s="1">
        <v>2026</v>
      </c>
      <c r="E343" s="1" t="s">
        <v>23</v>
      </c>
      <c r="F343" s="1">
        <v>70112375</v>
      </c>
      <c r="G343" s="1">
        <v>34673153</v>
      </c>
      <c r="H343" s="1">
        <v>35439222</v>
      </c>
      <c r="I343" s="1">
        <v>4524623</v>
      </c>
      <c r="J343" s="1">
        <v>258654</v>
      </c>
      <c r="K343" s="1">
        <v>6.45</v>
      </c>
      <c r="L343" s="1">
        <v>14.66</v>
      </c>
      <c r="M343" s="1">
        <v>16.11</v>
      </c>
      <c r="N343" s="1">
        <v>5.51</v>
      </c>
      <c r="O343" s="1">
        <v>34.29</v>
      </c>
      <c r="P343" s="1">
        <v>38.03</v>
      </c>
      <c r="Q343" s="1">
        <v>556.79999999999995</v>
      </c>
      <c r="R343" s="1">
        <v>45</v>
      </c>
      <c r="S343" s="1">
        <v>80</v>
      </c>
    </row>
    <row r="344" spans="1:19" ht="15">
      <c r="A344" s="1">
        <v>20</v>
      </c>
      <c r="B344" s="1" t="s">
        <v>44</v>
      </c>
      <c r="C344" s="1" t="s">
        <v>33</v>
      </c>
      <c r="D344" s="1">
        <v>2021</v>
      </c>
      <c r="E344" s="1" t="s">
        <v>21</v>
      </c>
      <c r="F344" s="1">
        <v>58380317</v>
      </c>
      <c r="G344" s="1">
        <v>29425924</v>
      </c>
      <c r="H344" s="1">
        <v>28954393</v>
      </c>
      <c r="I344" s="1">
        <v>3294320</v>
      </c>
      <c r="J344" s="1">
        <v>138426</v>
      </c>
      <c r="K344" s="1">
        <v>5.64</v>
      </c>
      <c r="L344" s="1">
        <v>14.15</v>
      </c>
      <c r="M344" s="1">
        <v>10.85</v>
      </c>
      <c r="N344" s="1">
        <v>6.29</v>
      </c>
      <c r="O344" s="1">
        <v>22.54</v>
      </c>
      <c r="P344" s="1">
        <v>27.59</v>
      </c>
      <c r="Q344" s="1">
        <v>9334.84</v>
      </c>
      <c r="R344" s="1">
        <v>52</v>
      </c>
      <c r="S344" s="1">
        <v>75.099999999999994</v>
      </c>
    </row>
    <row r="345" spans="1:19" ht="15">
      <c r="A345" s="1">
        <v>20</v>
      </c>
      <c r="B345" s="1" t="s">
        <v>44</v>
      </c>
      <c r="C345" s="1" t="s">
        <v>33</v>
      </c>
      <c r="D345" s="1">
        <v>2021</v>
      </c>
      <c r="E345" s="1" t="s">
        <v>22</v>
      </c>
      <c r="F345" s="1">
        <v>104302267</v>
      </c>
      <c r="G345" s="1">
        <v>53752021</v>
      </c>
      <c r="H345" s="1">
        <v>50550246</v>
      </c>
      <c r="I345" s="1">
        <v>9287201</v>
      </c>
      <c r="J345" s="1">
        <v>324940</v>
      </c>
      <c r="K345" s="1">
        <v>8.9</v>
      </c>
      <c r="L345" s="1">
        <v>10.54</v>
      </c>
      <c r="M345" s="1">
        <v>33.25</v>
      </c>
      <c r="N345" s="1">
        <v>7.61</v>
      </c>
      <c r="O345" s="1">
        <v>37.26</v>
      </c>
      <c r="P345" s="1">
        <v>19.36</v>
      </c>
      <c r="Q345" s="1">
        <v>10612.3</v>
      </c>
      <c r="R345" s="1">
        <v>50</v>
      </c>
      <c r="S345" s="1">
        <v>60.7</v>
      </c>
    </row>
    <row r="346" spans="1:19" ht="15">
      <c r="A346" s="1">
        <v>20</v>
      </c>
      <c r="B346" s="1" t="s">
        <v>44</v>
      </c>
      <c r="C346" s="1" t="s">
        <v>33</v>
      </c>
      <c r="D346" s="1">
        <v>2021</v>
      </c>
      <c r="E346" s="1" t="s">
        <v>23</v>
      </c>
      <c r="F346" s="1">
        <v>88623350</v>
      </c>
      <c r="G346" s="1">
        <v>46045260</v>
      </c>
      <c r="H346" s="1">
        <v>42578090</v>
      </c>
      <c r="I346" s="1">
        <v>4949044</v>
      </c>
      <c r="J346" s="1">
        <v>154321</v>
      </c>
      <c r="K346" s="1">
        <v>5.58</v>
      </c>
      <c r="L346" s="1">
        <v>26.02</v>
      </c>
      <c r="M346" s="1">
        <v>18.149999999999999</v>
      </c>
      <c r="N346" s="1">
        <v>5.32</v>
      </c>
      <c r="O346" s="1">
        <v>20.239999999999998</v>
      </c>
      <c r="P346" s="1">
        <v>25.18</v>
      </c>
      <c r="Q346" s="1">
        <v>1711.82</v>
      </c>
      <c r="R346" s="1">
        <v>80</v>
      </c>
      <c r="S346" s="1">
        <v>75.8</v>
      </c>
    </row>
    <row r="347" spans="1:19" ht="15">
      <c r="A347" s="1">
        <v>20</v>
      </c>
      <c r="B347" s="1" t="s">
        <v>44</v>
      </c>
      <c r="C347" s="1" t="s">
        <v>33</v>
      </c>
      <c r="D347" s="1">
        <v>2022</v>
      </c>
      <c r="E347" s="1" t="s">
        <v>21</v>
      </c>
      <c r="F347" s="1">
        <v>71081708</v>
      </c>
      <c r="G347" s="1">
        <v>36823079</v>
      </c>
      <c r="H347" s="1">
        <v>34258629</v>
      </c>
      <c r="I347" s="1">
        <v>4597157</v>
      </c>
      <c r="J347" s="1">
        <v>270208</v>
      </c>
      <c r="K347" s="1">
        <v>6.47</v>
      </c>
      <c r="L347" s="1">
        <v>24.08</v>
      </c>
      <c r="M347" s="1">
        <v>29.86</v>
      </c>
      <c r="N347" s="1">
        <v>9.94</v>
      </c>
      <c r="O347" s="1">
        <v>35.82</v>
      </c>
      <c r="P347" s="1">
        <v>26.54</v>
      </c>
      <c r="Q347" s="1">
        <v>9046.9</v>
      </c>
      <c r="R347" s="1">
        <v>61</v>
      </c>
      <c r="S347" s="1">
        <v>70.7</v>
      </c>
    </row>
    <row r="348" spans="1:19" ht="15">
      <c r="A348" s="1">
        <v>20</v>
      </c>
      <c r="B348" s="1" t="s">
        <v>44</v>
      </c>
      <c r="C348" s="1" t="s">
        <v>33</v>
      </c>
      <c r="D348" s="1">
        <v>2022</v>
      </c>
      <c r="E348" s="1" t="s">
        <v>22</v>
      </c>
      <c r="F348" s="1">
        <v>127259359</v>
      </c>
      <c r="G348" s="1">
        <v>65515035</v>
      </c>
      <c r="H348" s="1">
        <v>61744324</v>
      </c>
      <c r="I348" s="1">
        <v>8352017</v>
      </c>
      <c r="J348" s="1">
        <v>400611</v>
      </c>
      <c r="K348" s="1">
        <v>6.56</v>
      </c>
      <c r="L348" s="1">
        <v>19.649999999999999</v>
      </c>
      <c r="M348" s="1">
        <v>11.53</v>
      </c>
      <c r="N348" s="1">
        <v>10.92</v>
      </c>
      <c r="O348" s="1">
        <v>20.48</v>
      </c>
      <c r="P348" s="1">
        <v>36.659999999999997</v>
      </c>
      <c r="Q348" s="1">
        <v>4507.67</v>
      </c>
      <c r="R348" s="1">
        <v>62</v>
      </c>
      <c r="S348" s="1">
        <v>63.4</v>
      </c>
    </row>
    <row r="349" spans="1:19" ht="15">
      <c r="A349" s="1">
        <v>20</v>
      </c>
      <c r="B349" s="1" t="s">
        <v>44</v>
      </c>
      <c r="C349" s="1" t="s">
        <v>33</v>
      </c>
      <c r="D349" s="1">
        <v>2022</v>
      </c>
      <c r="E349" s="1" t="s">
        <v>23</v>
      </c>
      <c r="F349" s="1">
        <v>177749353</v>
      </c>
      <c r="G349" s="1">
        <v>90412196</v>
      </c>
      <c r="H349" s="1">
        <v>87337157</v>
      </c>
      <c r="I349" s="1">
        <v>14091199</v>
      </c>
      <c r="J349" s="1">
        <v>822084</v>
      </c>
      <c r="K349" s="1">
        <v>7.93</v>
      </c>
      <c r="L349" s="1">
        <v>28.13</v>
      </c>
      <c r="M349" s="1">
        <v>12.17</v>
      </c>
      <c r="N349" s="1">
        <v>14.18</v>
      </c>
      <c r="O349" s="1">
        <v>25.61</v>
      </c>
      <c r="P349" s="1">
        <v>21.35</v>
      </c>
      <c r="Q349" s="1">
        <v>8373.94</v>
      </c>
      <c r="R349" s="1">
        <v>50</v>
      </c>
      <c r="S349" s="1">
        <v>63.1</v>
      </c>
    </row>
    <row r="350" spans="1:19" ht="15">
      <c r="A350" s="1">
        <v>20</v>
      </c>
      <c r="B350" s="1" t="s">
        <v>44</v>
      </c>
      <c r="C350" s="1" t="s">
        <v>33</v>
      </c>
      <c r="D350" s="1">
        <v>2023</v>
      </c>
      <c r="E350" s="1" t="s">
        <v>21</v>
      </c>
      <c r="F350" s="1">
        <v>83224543</v>
      </c>
      <c r="G350" s="1">
        <v>41805466</v>
      </c>
      <c r="H350" s="1">
        <v>41419077</v>
      </c>
      <c r="I350" s="1">
        <v>7806325</v>
      </c>
      <c r="J350" s="1">
        <v>237640</v>
      </c>
      <c r="K350" s="1">
        <v>9.3800000000000008</v>
      </c>
      <c r="L350" s="1">
        <v>18.05</v>
      </c>
      <c r="M350" s="1">
        <v>14.48</v>
      </c>
      <c r="N350" s="1">
        <v>12.09</v>
      </c>
      <c r="O350" s="1">
        <v>35.74</v>
      </c>
      <c r="P350" s="1">
        <v>18.54</v>
      </c>
      <c r="Q350" s="1">
        <v>10211.77</v>
      </c>
      <c r="R350" s="1">
        <v>51</v>
      </c>
      <c r="S350" s="1">
        <v>77.2</v>
      </c>
    </row>
    <row r="351" spans="1:19" ht="15">
      <c r="A351" s="1">
        <v>20</v>
      </c>
      <c r="B351" s="1" t="s">
        <v>44</v>
      </c>
      <c r="C351" s="1" t="s">
        <v>33</v>
      </c>
      <c r="D351" s="1">
        <v>2023</v>
      </c>
      <c r="E351" s="1" t="s">
        <v>22</v>
      </c>
      <c r="F351" s="1">
        <v>63143423</v>
      </c>
      <c r="G351" s="1">
        <v>30634157</v>
      </c>
      <c r="H351" s="1">
        <v>32509266</v>
      </c>
      <c r="I351" s="1">
        <v>4651786</v>
      </c>
      <c r="J351" s="1">
        <v>290559</v>
      </c>
      <c r="K351" s="1">
        <v>7.37</v>
      </c>
      <c r="L351" s="1">
        <v>19.899999999999999</v>
      </c>
      <c r="M351" s="1">
        <v>27.23</v>
      </c>
      <c r="N351" s="1">
        <v>12.75</v>
      </c>
      <c r="O351" s="1">
        <v>38.57</v>
      </c>
      <c r="P351" s="1">
        <v>31.23</v>
      </c>
      <c r="Q351" s="1">
        <v>2523.4299999999998</v>
      </c>
      <c r="R351" s="1">
        <v>82</v>
      </c>
      <c r="S351" s="1">
        <v>69.7</v>
      </c>
    </row>
    <row r="352" spans="1:19" ht="15">
      <c r="A352" s="1">
        <v>20</v>
      </c>
      <c r="B352" s="1" t="s">
        <v>44</v>
      </c>
      <c r="C352" s="1" t="s">
        <v>33</v>
      </c>
      <c r="D352" s="1">
        <v>2023</v>
      </c>
      <c r="E352" s="1" t="s">
        <v>23</v>
      </c>
      <c r="F352" s="1">
        <v>153854428</v>
      </c>
      <c r="G352" s="1">
        <v>78149388</v>
      </c>
      <c r="H352" s="1">
        <v>75705040</v>
      </c>
      <c r="I352" s="1">
        <v>12994546</v>
      </c>
      <c r="J352" s="1">
        <v>966333</v>
      </c>
      <c r="K352" s="1">
        <v>8.4499999999999993</v>
      </c>
      <c r="L352" s="1">
        <v>21.79</v>
      </c>
      <c r="M352" s="1">
        <v>15.74</v>
      </c>
      <c r="N352" s="1">
        <v>9.06</v>
      </c>
      <c r="O352" s="1">
        <v>32.409999999999997</v>
      </c>
      <c r="P352" s="1">
        <v>29.27</v>
      </c>
      <c r="Q352" s="1">
        <v>2726.71</v>
      </c>
      <c r="R352" s="1">
        <v>78</v>
      </c>
      <c r="S352" s="1">
        <v>73.3</v>
      </c>
    </row>
    <row r="353" spans="1:19" ht="15">
      <c r="A353" s="1">
        <v>20</v>
      </c>
      <c r="B353" s="1" t="s">
        <v>44</v>
      </c>
      <c r="C353" s="1" t="s">
        <v>33</v>
      </c>
      <c r="D353" s="1">
        <v>2024</v>
      </c>
      <c r="E353" s="1" t="s">
        <v>21</v>
      </c>
      <c r="F353" s="1">
        <v>164982411</v>
      </c>
      <c r="G353" s="1">
        <v>82998040</v>
      </c>
      <c r="H353" s="1">
        <v>81984371</v>
      </c>
      <c r="I353" s="1">
        <v>9941000</v>
      </c>
      <c r="J353" s="1">
        <v>542590</v>
      </c>
      <c r="K353" s="1">
        <v>6.03</v>
      </c>
      <c r="L353" s="1">
        <v>15.37</v>
      </c>
      <c r="M353" s="1">
        <v>18.38</v>
      </c>
      <c r="N353" s="1">
        <v>8.42</v>
      </c>
      <c r="O353" s="1">
        <v>32.11</v>
      </c>
      <c r="P353" s="1">
        <v>24.32</v>
      </c>
      <c r="Q353" s="1">
        <v>10848.92</v>
      </c>
      <c r="R353" s="1">
        <v>42</v>
      </c>
      <c r="S353" s="1">
        <v>82.6</v>
      </c>
    </row>
    <row r="354" spans="1:19" ht="15">
      <c r="A354" s="1">
        <v>20</v>
      </c>
      <c r="B354" s="1" t="s">
        <v>44</v>
      </c>
      <c r="C354" s="1" t="s">
        <v>33</v>
      </c>
      <c r="D354" s="1">
        <v>2024</v>
      </c>
      <c r="E354" s="1" t="s">
        <v>22</v>
      </c>
      <c r="F354" s="1">
        <v>150401222</v>
      </c>
      <c r="G354" s="1">
        <v>75872242</v>
      </c>
      <c r="H354" s="1">
        <v>74528980</v>
      </c>
      <c r="I354" s="1">
        <v>10756111</v>
      </c>
      <c r="J354" s="1">
        <v>533970</v>
      </c>
      <c r="K354" s="1">
        <v>7.15</v>
      </c>
      <c r="L354" s="1">
        <v>10.74</v>
      </c>
      <c r="M354" s="1">
        <v>27.61</v>
      </c>
      <c r="N354" s="1">
        <v>8.16</v>
      </c>
      <c r="O354" s="1">
        <v>20.45</v>
      </c>
      <c r="P354" s="1">
        <v>37.82</v>
      </c>
      <c r="Q354" s="1">
        <v>3218.32</v>
      </c>
      <c r="R354" s="1">
        <v>55</v>
      </c>
      <c r="S354" s="1">
        <v>77</v>
      </c>
    </row>
    <row r="355" spans="1:19" ht="15">
      <c r="A355" s="1">
        <v>20</v>
      </c>
      <c r="B355" s="1" t="s">
        <v>44</v>
      </c>
      <c r="C355" s="1" t="s">
        <v>33</v>
      </c>
      <c r="D355" s="1">
        <v>2024</v>
      </c>
      <c r="E355" s="1" t="s">
        <v>23</v>
      </c>
      <c r="F355" s="1">
        <v>19599674</v>
      </c>
      <c r="G355" s="1">
        <v>10012652</v>
      </c>
      <c r="H355" s="1">
        <v>9587022</v>
      </c>
      <c r="I355" s="1">
        <v>1735939</v>
      </c>
      <c r="J355" s="1">
        <v>105540</v>
      </c>
      <c r="K355" s="1">
        <v>8.86</v>
      </c>
      <c r="L355" s="1">
        <v>10.52</v>
      </c>
      <c r="M355" s="1">
        <v>23.36</v>
      </c>
      <c r="N355" s="1">
        <v>14.61</v>
      </c>
      <c r="O355" s="1">
        <v>29.1</v>
      </c>
      <c r="P355" s="1">
        <v>22.41</v>
      </c>
      <c r="Q355" s="1">
        <v>6909.74</v>
      </c>
      <c r="R355" s="1">
        <v>78</v>
      </c>
      <c r="S355" s="1">
        <v>66.8</v>
      </c>
    </row>
    <row r="356" spans="1:19" ht="15">
      <c r="A356" s="1">
        <v>20</v>
      </c>
      <c r="B356" s="1" t="s">
        <v>44</v>
      </c>
      <c r="C356" s="1" t="s">
        <v>33</v>
      </c>
      <c r="D356" s="1">
        <v>2025</v>
      </c>
      <c r="E356" s="1" t="s">
        <v>21</v>
      </c>
      <c r="F356" s="1">
        <v>126829678</v>
      </c>
      <c r="G356" s="1">
        <v>64809449</v>
      </c>
      <c r="H356" s="1">
        <v>62020229</v>
      </c>
      <c r="I356" s="1">
        <v>11677958</v>
      </c>
      <c r="J356" s="1">
        <v>364500</v>
      </c>
      <c r="K356" s="1">
        <v>9.2100000000000009</v>
      </c>
      <c r="L356" s="1">
        <v>12.01</v>
      </c>
      <c r="M356" s="1">
        <v>22.51</v>
      </c>
      <c r="N356" s="1">
        <v>5.59</v>
      </c>
      <c r="O356" s="1">
        <v>23.92</v>
      </c>
      <c r="P356" s="1">
        <v>36.81</v>
      </c>
      <c r="Q356" s="1">
        <v>11983.45</v>
      </c>
      <c r="R356" s="1">
        <v>42</v>
      </c>
      <c r="S356" s="1">
        <v>63.8</v>
      </c>
    </row>
    <row r="357" spans="1:19" ht="15">
      <c r="A357" s="1">
        <v>20</v>
      </c>
      <c r="B357" s="1" t="s">
        <v>44</v>
      </c>
      <c r="C357" s="1" t="s">
        <v>33</v>
      </c>
      <c r="D357" s="1">
        <v>2025</v>
      </c>
      <c r="E357" s="1" t="s">
        <v>22</v>
      </c>
      <c r="F357" s="1">
        <v>168645729</v>
      </c>
      <c r="G357" s="1">
        <v>86372848</v>
      </c>
      <c r="H357" s="1">
        <v>82272881</v>
      </c>
      <c r="I357" s="1">
        <v>13339617</v>
      </c>
      <c r="J357" s="1">
        <v>1063729</v>
      </c>
      <c r="K357" s="1">
        <v>7.91</v>
      </c>
      <c r="L357" s="1">
        <v>15.65</v>
      </c>
      <c r="M357" s="1">
        <v>32.53</v>
      </c>
      <c r="N357" s="1">
        <v>5.16</v>
      </c>
      <c r="O357" s="1">
        <v>24.44</v>
      </c>
      <c r="P357" s="1">
        <v>37.61</v>
      </c>
      <c r="Q357" s="1">
        <v>6363.84</v>
      </c>
      <c r="R357" s="1">
        <v>76</v>
      </c>
      <c r="S357" s="1">
        <v>76.099999999999994</v>
      </c>
    </row>
    <row r="358" spans="1:19" ht="15">
      <c r="A358" s="1">
        <v>20</v>
      </c>
      <c r="B358" s="1" t="s">
        <v>44</v>
      </c>
      <c r="C358" s="1" t="s">
        <v>33</v>
      </c>
      <c r="D358" s="1">
        <v>2025</v>
      </c>
      <c r="E358" s="1" t="s">
        <v>23</v>
      </c>
      <c r="F358" s="1">
        <v>42477722</v>
      </c>
      <c r="G358" s="1">
        <v>20930291</v>
      </c>
      <c r="H358" s="1">
        <v>21547431</v>
      </c>
      <c r="I358" s="1">
        <v>3375201</v>
      </c>
      <c r="J358" s="1">
        <v>171399</v>
      </c>
      <c r="K358" s="1">
        <v>7.95</v>
      </c>
      <c r="L358" s="1">
        <v>11.61</v>
      </c>
      <c r="M358" s="1">
        <v>11.6</v>
      </c>
      <c r="N358" s="1">
        <v>14.13</v>
      </c>
      <c r="O358" s="1">
        <v>37.369999999999997</v>
      </c>
      <c r="P358" s="1">
        <v>26.45</v>
      </c>
      <c r="Q358" s="1">
        <v>3262.52</v>
      </c>
      <c r="R358" s="1">
        <v>79</v>
      </c>
      <c r="S358" s="1">
        <v>82</v>
      </c>
    </row>
    <row r="359" spans="1:19" ht="15">
      <c r="A359" s="1">
        <v>20</v>
      </c>
      <c r="B359" s="1" t="s">
        <v>44</v>
      </c>
      <c r="C359" s="1" t="s">
        <v>33</v>
      </c>
      <c r="D359" s="1">
        <v>2026</v>
      </c>
      <c r="E359" s="1" t="s">
        <v>21</v>
      </c>
      <c r="F359" s="1">
        <v>27501123</v>
      </c>
      <c r="G359" s="1">
        <v>13794983</v>
      </c>
      <c r="H359" s="1">
        <v>13706140</v>
      </c>
      <c r="I359" s="1">
        <v>1385653</v>
      </c>
      <c r="J359" s="1">
        <v>84914</v>
      </c>
      <c r="K359" s="1">
        <v>5.04</v>
      </c>
      <c r="L359" s="1">
        <v>25.15</v>
      </c>
      <c r="M359" s="1">
        <v>17.600000000000001</v>
      </c>
      <c r="N359" s="1">
        <v>14.8</v>
      </c>
      <c r="O359" s="1">
        <v>21.18</v>
      </c>
      <c r="P359" s="1">
        <v>17.79</v>
      </c>
      <c r="Q359" s="1">
        <v>7444.07</v>
      </c>
      <c r="R359" s="1">
        <v>45</v>
      </c>
      <c r="S359" s="1">
        <v>68.5</v>
      </c>
    </row>
    <row r="360" spans="1:19" ht="15">
      <c r="A360" s="1">
        <v>20</v>
      </c>
      <c r="B360" s="1" t="s">
        <v>44</v>
      </c>
      <c r="C360" s="1" t="s">
        <v>33</v>
      </c>
      <c r="D360" s="1">
        <v>2026</v>
      </c>
      <c r="E360" s="1" t="s">
        <v>22</v>
      </c>
      <c r="F360" s="1">
        <v>93035491</v>
      </c>
      <c r="G360" s="1">
        <v>47248509</v>
      </c>
      <c r="H360" s="1">
        <v>45786982</v>
      </c>
      <c r="I360" s="1">
        <v>8972859</v>
      </c>
      <c r="J360" s="1">
        <v>655189</v>
      </c>
      <c r="K360" s="1">
        <v>9.64</v>
      </c>
      <c r="L360" s="1">
        <v>24.53</v>
      </c>
      <c r="M360" s="1">
        <v>17.23</v>
      </c>
      <c r="N360" s="1">
        <v>8.0399999999999991</v>
      </c>
      <c r="O360" s="1">
        <v>23.56</v>
      </c>
      <c r="P360" s="1">
        <v>36.89</v>
      </c>
      <c r="Q360" s="1">
        <v>8283.4500000000007</v>
      </c>
      <c r="R360" s="1">
        <v>62</v>
      </c>
      <c r="S360" s="1">
        <v>61.6</v>
      </c>
    </row>
    <row r="361" spans="1:19" ht="15">
      <c r="A361" s="1">
        <v>20</v>
      </c>
      <c r="B361" s="1" t="s">
        <v>44</v>
      </c>
      <c r="C361" s="1" t="s">
        <v>33</v>
      </c>
      <c r="D361" s="1">
        <v>2026</v>
      </c>
      <c r="E361" s="1" t="s">
        <v>23</v>
      </c>
      <c r="F361" s="1">
        <v>115580854</v>
      </c>
      <c r="G361" s="1">
        <v>59401589</v>
      </c>
      <c r="H361" s="1">
        <v>56179265</v>
      </c>
      <c r="I361" s="1">
        <v>6616157</v>
      </c>
      <c r="J361" s="1">
        <v>367046</v>
      </c>
      <c r="K361" s="1">
        <v>5.72</v>
      </c>
      <c r="L361" s="1">
        <v>28.71</v>
      </c>
      <c r="M361" s="1">
        <v>18.940000000000001</v>
      </c>
      <c r="N361" s="1">
        <v>9.58</v>
      </c>
      <c r="O361" s="1">
        <v>38.89</v>
      </c>
      <c r="P361" s="1">
        <v>22.43</v>
      </c>
      <c r="Q361" s="1">
        <v>5701.08</v>
      </c>
      <c r="R361" s="1">
        <v>81</v>
      </c>
      <c r="S361" s="1">
        <v>69.400000000000006</v>
      </c>
    </row>
    <row r="362" spans="1:19" ht="15">
      <c r="A362" s="1">
        <v>21</v>
      </c>
      <c r="B362" s="1" t="s">
        <v>45</v>
      </c>
      <c r="C362" s="1" t="s">
        <v>33</v>
      </c>
      <c r="D362" s="1">
        <v>2021</v>
      </c>
      <c r="E362" s="1" t="s">
        <v>21</v>
      </c>
      <c r="F362" s="1">
        <v>76871622</v>
      </c>
      <c r="G362" s="1">
        <v>38224231</v>
      </c>
      <c r="H362" s="1">
        <v>38647391</v>
      </c>
      <c r="I362" s="1">
        <v>7652282</v>
      </c>
      <c r="J362" s="1">
        <v>537736</v>
      </c>
      <c r="K362" s="1">
        <v>9.9499999999999993</v>
      </c>
      <c r="L362" s="1">
        <v>10.82</v>
      </c>
      <c r="M362" s="1">
        <v>25.23</v>
      </c>
      <c r="N362" s="1">
        <v>5.12</v>
      </c>
      <c r="O362" s="1">
        <v>21.57</v>
      </c>
      <c r="P362" s="1">
        <v>29.58</v>
      </c>
      <c r="Q362" s="1">
        <v>7636.79</v>
      </c>
      <c r="R362" s="1">
        <v>50</v>
      </c>
      <c r="S362" s="1">
        <v>69.3</v>
      </c>
    </row>
    <row r="363" spans="1:19" ht="15">
      <c r="A363" s="1">
        <v>21</v>
      </c>
      <c r="B363" s="1" t="s">
        <v>45</v>
      </c>
      <c r="C363" s="1" t="s">
        <v>33</v>
      </c>
      <c r="D363" s="1">
        <v>2021</v>
      </c>
      <c r="E363" s="1" t="s">
        <v>22</v>
      </c>
      <c r="F363" s="1">
        <v>34936910</v>
      </c>
      <c r="G363" s="1">
        <v>17273520</v>
      </c>
      <c r="H363" s="1">
        <v>17663390</v>
      </c>
      <c r="I363" s="1">
        <v>2976365</v>
      </c>
      <c r="J363" s="1">
        <v>151773</v>
      </c>
      <c r="K363" s="1">
        <v>8.52</v>
      </c>
      <c r="L363" s="1">
        <v>17.690000000000001</v>
      </c>
      <c r="M363" s="1">
        <v>30.64</v>
      </c>
      <c r="N363" s="1">
        <v>11.69</v>
      </c>
      <c r="O363" s="1">
        <v>22.21</v>
      </c>
      <c r="P363" s="1">
        <v>28.5</v>
      </c>
      <c r="Q363" s="1">
        <v>3083.73</v>
      </c>
      <c r="R363" s="1">
        <v>74</v>
      </c>
      <c r="S363" s="1">
        <v>74.099999999999994</v>
      </c>
    </row>
    <row r="364" spans="1:19" ht="15">
      <c r="A364" s="1">
        <v>21</v>
      </c>
      <c r="B364" s="1" t="s">
        <v>45</v>
      </c>
      <c r="C364" s="1" t="s">
        <v>33</v>
      </c>
      <c r="D364" s="1">
        <v>2021</v>
      </c>
      <c r="E364" s="1" t="s">
        <v>23</v>
      </c>
      <c r="F364" s="1">
        <v>54707546</v>
      </c>
      <c r="G364" s="1">
        <v>28152898</v>
      </c>
      <c r="H364" s="1">
        <v>26554648</v>
      </c>
      <c r="I364" s="1">
        <v>3716896</v>
      </c>
      <c r="J364" s="1">
        <v>208469</v>
      </c>
      <c r="K364" s="1">
        <v>6.79</v>
      </c>
      <c r="L364" s="1">
        <v>11.56</v>
      </c>
      <c r="M364" s="1">
        <v>29.35</v>
      </c>
      <c r="N364" s="1">
        <v>6.73</v>
      </c>
      <c r="O364" s="1">
        <v>27.97</v>
      </c>
      <c r="P364" s="1">
        <v>21.86</v>
      </c>
      <c r="Q364" s="1">
        <v>6472.68</v>
      </c>
      <c r="R364" s="1">
        <v>67</v>
      </c>
      <c r="S364" s="1">
        <v>70.8</v>
      </c>
    </row>
    <row r="365" spans="1:19" ht="15">
      <c r="A365" s="1">
        <v>21</v>
      </c>
      <c r="B365" s="1" t="s">
        <v>45</v>
      </c>
      <c r="C365" s="1" t="s">
        <v>33</v>
      </c>
      <c r="D365" s="1">
        <v>2022</v>
      </c>
      <c r="E365" s="1" t="s">
        <v>21</v>
      </c>
      <c r="F365" s="1">
        <v>60817129</v>
      </c>
      <c r="G365" s="1">
        <v>30683709</v>
      </c>
      <c r="H365" s="1">
        <v>30133420</v>
      </c>
      <c r="I365" s="1">
        <v>5135812</v>
      </c>
      <c r="J365" s="1">
        <v>290582</v>
      </c>
      <c r="K365" s="1">
        <v>8.44</v>
      </c>
      <c r="L365" s="1">
        <v>24.85</v>
      </c>
      <c r="M365" s="1">
        <v>32.44</v>
      </c>
      <c r="N365" s="1">
        <v>9.58</v>
      </c>
      <c r="O365" s="1">
        <v>20.66</v>
      </c>
      <c r="P365" s="1">
        <v>34.17</v>
      </c>
      <c r="Q365" s="1">
        <v>5778.67</v>
      </c>
      <c r="R365" s="1">
        <v>59</v>
      </c>
      <c r="S365" s="1">
        <v>78</v>
      </c>
    </row>
    <row r="366" spans="1:19" ht="15">
      <c r="A366" s="1">
        <v>21</v>
      </c>
      <c r="B366" s="1" t="s">
        <v>45</v>
      </c>
      <c r="C366" s="1" t="s">
        <v>33</v>
      </c>
      <c r="D366" s="1">
        <v>2022</v>
      </c>
      <c r="E366" s="1" t="s">
        <v>22</v>
      </c>
      <c r="F366" s="1">
        <v>180929763</v>
      </c>
      <c r="G366" s="1">
        <v>87402581</v>
      </c>
      <c r="H366" s="1">
        <v>93527182</v>
      </c>
      <c r="I366" s="1">
        <v>12648304</v>
      </c>
      <c r="J366" s="1">
        <v>847798</v>
      </c>
      <c r="K366" s="1">
        <v>6.99</v>
      </c>
      <c r="L366" s="1">
        <v>19.03</v>
      </c>
      <c r="M366" s="1">
        <v>21.28</v>
      </c>
      <c r="N366" s="1">
        <v>9.7899999999999991</v>
      </c>
      <c r="O366" s="1">
        <v>39.770000000000003</v>
      </c>
      <c r="P366" s="1">
        <v>21</v>
      </c>
      <c r="Q366" s="1">
        <v>2376.59</v>
      </c>
      <c r="R366" s="1">
        <v>78</v>
      </c>
      <c r="S366" s="1">
        <v>77.599999999999994</v>
      </c>
    </row>
    <row r="367" spans="1:19" ht="15">
      <c r="A367" s="1">
        <v>21</v>
      </c>
      <c r="B367" s="1" t="s">
        <v>45</v>
      </c>
      <c r="C367" s="1" t="s">
        <v>33</v>
      </c>
      <c r="D367" s="1">
        <v>2022</v>
      </c>
      <c r="E367" s="1" t="s">
        <v>23</v>
      </c>
      <c r="F367" s="1">
        <v>42468075</v>
      </c>
      <c r="G367" s="1">
        <v>20462189</v>
      </c>
      <c r="H367" s="1">
        <v>22005886</v>
      </c>
      <c r="I367" s="1">
        <v>3425714</v>
      </c>
      <c r="J367" s="1">
        <v>249614</v>
      </c>
      <c r="K367" s="1">
        <v>8.07</v>
      </c>
      <c r="L367" s="1">
        <v>24.36</v>
      </c>
      <c r="M367" s="1">
        <v>13.68</v>
      </c>
      <c r="N367" s="1">
        <v>6.68</v>
      </c>
      <c r="O367" s="1">
        <v>28.92</v>
      </c>
      <c r="P367" s="1">
        <v>24.33</v>
      </c>
      <c r="Q367" s="1">
        <v>2434.67</v>
      </c>
      <c r="R367" s="1">
        <v>77</v>
      </c>
      <c r="S367" s="1">
        <v>71.900000000000006</v>
      </c>
    </row>
    <row r="368" spans="1:19" ht="15">
      <c r="A368" s="1">
        <v>21</v>
      </c>
      <c r="B368" s="1" t="s">
        <v>45</v>
      </c>
      <c r="C368" s="1" t="s">
        <v>33</v>
      </c>
      <c r="D368" s="1">
        <v>2023</v>
      </c>
      <c r="E368" s="1" t="s">
        <v>21</v>
      </c>
      <c r="F368" s="1">
        <v>113107151</v>
      </c>
      <c r="G368" s="1">
        <v>54638645</v>
      </c>
      <c r="H368" s="1">
        <v>58468506</v>
      </c>
      <c r="I368" s="1">
        <v>8427775</v>
      </c>
      <c r="J368" s="1">
        <v>648722</v>
      </c>
      <c r="K368" s="1">
        <v>7.45</v>
      </c>
      <c r="L368" s="1">
        <v>13.06</v>
      </c>
      <c r="M368" s="1">
        <v>14.97</v>
      </c>
      <c r="N368" s="1">
        <v>10.11</v>
      </c>
      <c r="O368" s="1">
        <v>38.96</v>
      </c>
      <c r="P368" s="1">
        <v>26.29</v>
      </c>
      <c r="Q368" s="1">
        <v>2924.21</v>
      </c>
      <c r="R368" s="1">
        <v>48</v>
      </c>
      <c r="S368" s="1">
        <v>73.2</v>
      </c>
    </row>
    <row r="369" spans="1:19" ht="15">
      <c r="A369" s="1">
        <v>21</v>
      </c>
      <c r="B369" s="1" t="s">
        <v>45</v>
      </c>
      <c r="C369" s="1" t="s">
        <v>33</v>
      </c>
      <c r="D369" s="1">
        <v>2023</v>
      </c>
      <c r="E369" s="1" t="s">
        <v>22</v>
      </c>
      <c r="F369" s="1">
        <v>42542966</v>
      </c>
      <c r="G369" s="1">
        <v>20616025</v>
      </c>
      <c r="H369" s="1">
        <v>21926941</v>
      </c>
      <c r="I369" s="1">
        <v>3464760</v>
      </c>
      <c r="J369" s="1">
        <v>179206</v>
      </c>
      <c r="K369" s="1">
        <v>8.14</v>
      </c>
      <c r="L369" s="1">
        <v>29.12</v>
      </c>
      <c r="M369" s="1">
        <v>19.600000000000001</v>
      </c>
      <c r="N369" s="1">
        <v>6.53</v>
      </c>
      <c r="O369" s="1">
        <v>26.47</v>
      </c>
      <c r="P369" s="1">
        <v>26.97</v>
      </c>
      <c r="Q369" s="1">
        <v>3831.26</v>
      </c>
      <c r="R369" s="1">
        <v>54</v>
      </c>
      <c r="S369" s="1">
        <v>69.7</v>
      </c>
    </row>
    <row r="370" spans="1:19" ht="15">
      <c r="A370" s="1">
        <v>21</v>
      </c>
      <c r="B370" s="1" t="s">
        <v>45</v>
      </c>
      <c r="C370" s="1" t="s">
        <v>33</v>
      </c>
      <c r="D370" s="1">
        <v>2023</v>
      </c>
      <c r="E370" s="1" t="s">
        <v>23</v>
      </c>
      <c r="F370" s="1">
        <v>169473591</v>
      </c>
      <c r="G370" s="1">
        <v>86533108</v>
      </c>
      <c r="H370" s="1">
        <v>82940483</v>
      </c>
      <c r="I370" s="1">
        <v>13484831</v>
      </c>
      <c r="J370" s="1">
        <v>729515</v>
      </c>
      <c r="K370" s="1">
        <v>7.96</v>
      </c>
      <c r="L370" s="1">
        <v>12.29</v>
      </c>
      <c r="M370" s="1">
        <v>26.7</v>
      </c>
      <c r="N370" s="1">
        <v>7.32</v>
      </c>
      <c r="O370" s="1">
        <v>34.78</v>
      </c>
      <c r="P370" s="1">
        <v>38.86</v>
      </c>
      <c r="Q370" s="1">
        <v>10326.51</v>
      </c>
      <c r="R370" s="1">
        <v>71</v>
      </c>
      <c r="S370" s="1">
        <v>66.3</v>
      </c>
    </row>
    <row r="371" spans="1:19" ht="15">
      <c r="A371" s="1">
        <v>21</v>
      </c>
      <c r="B371" s="1" t="s">
        <v>45</v>
      </c>
      <c r="C371" s="1" t="s">
        <v>33</v>
      </c>
      <c r="D371" s="1">
        <v>2024</v>
      </c>
      <c r="E371" s="1" t="s">
        <v>21</v>
      </c>
      <c r="F371" s="1">
        <v>155307010</v>
      </c>
      <c r="G371" s="1">
        <v>77310680</v>
      </c>
      <c r="H371" s="1">
        <v>77996330</v>
      </c>
      <c r="I371" s="1">
        <v>13741333</v>
      </c>
      <c r="J371" s="1">
        <v>699252</v>
      </c>
      <c r="K371" s="1">
        <v>8.85</v>
      </c>
      <c r="L371" s="1">
        <v>17.05</v>
      </c>
      <c r="M371" s="1">
        <v>24.69</v>
      </c>
      <c r="N371" s="1">
        <v>10.7</v>
      </c>
      <c r="O371" s="1">
        <v>36.880000000000003</v>
      </c>
      <c r="P371" s="1">
        <v>38.18</v>
      </c>
      <c r="Q371" s="1">
        <v>10367.44</v>
      </c>
      <c r="R371" s="1">
        <v>60</v>
      </c>
      <c r="S371" s="1">
        <v>82.8</v>
      </c>
    </row>
    <row r="372" spans="1:19" ht="15">
      <c r="A372" s="1">
        <v>21</v>
      </c>
      <c r="B372" s="1" t="s">
        <v>45</v>
      </c>
      <c r="C372" s="1" t="s">
        <v>33</v>
      </c>
      <c r="D372" s="1">
        <v>2024</v>
      </c>
      <c r="E372" s="1" t="s">
        <v>22</v>
      </c>
      <c r="F372" s="1">
        <v>103394796</v>
      </c>
      <c r="G372" s="1">
        <v>51338757</v>
      </c>
      <c r="H372" s="1">
        <v>52056039</v>
      </c>
      <c r="I372" s="1">
        <v>8827641</v>
      </c>
      <c r="J372" s="1">
        <v>648176</v>
      </c>
      <c r="K372" s="1">
        <v>8.5399999999999991</v>
      </c>
      <c r="L372" s="1">
        <v>24.26</v>
      </c>
      <c r="M372" s="1">
        <v>24.44</v>
      </c>
      <c r="N372" s="1">
        <v>6.63</v>
      </c>
      <c r="O372" s="1">
        <v>34.479999999999997</v>
      </c>
      <c r="P372" s="1">
        <v>37.729999999999997</v>
      </c>
      <c r="Q372" s="1">
        <v>5790.27</v>
      </c>
      <c r="R372" s="1">
        <v>65</v>
      </c>
      <c r="S372" s="1">
        <v>80</v>
      </c>
    </row>
    <row r="373" spans="1:19" ht="15">
      <c r="A373" s="1">
        <v>21</v>
      </c>
      <c r="B373" s="1" t="s">
        <v>45</v>
      </c>
      <c r="C373" s="1" t="s">
        <v>33</v>
      </c>
      <c r="D373" s="1">
        <v>2024</v>
      </c>
      <c r="E373" s="1" t="s">
        <v>23</v>
      </c>
      <c r="F373" s="1">
        <v>156989602</v>
      </c>
      <c r="G373" s="1">
        <v>77022230</v>
      </c>
      <c r="H373" s="1">
        <v>79967372</v>
      </c>
      <c r="I373" s="1">
        <v>15544341</v>
      </c>
      <c r="J373" s="1">
        <v>1044509</v>
      </c>
      <c r="K373" s="1">
        <v>9.9</v>
      </c>
      <c r="L373" s="1">
        <v>29.59</v>
      </c>
      <c r="M373" s="1">
        <v>25.25</v>
      </c>
      <c r="N373" s="1">
        <v>12.43</v>
      </c>
      <c r="O373" s="1">
        <v>25.49</v>
      </c>
      <c r="P373" s="1">
        <v>28.22</v>
      </c>
      <c r="Q373" s="1">
        <v>4920.2299999999996</v>
      </c>
      <c r="R373" s="1">
        <v>66</v>
      </c>
      <c r="S373" s="1">
        <v>75.8</v>
      </c>
    </row>
    <row r="374" spans="1:19" ht="15">
      <c r="A374" s="1">
        <v>21</v>
      </c>
      <c r="B374" s="1" t="s">
        <v>45</v>
      </c>
      <c r="C374" s="1" t="s">
        <v>33</v>
      </c>
      <c r="D374" s="1">
        <v>2025</v>
      </c>
      <c r="E374" s="1" t="s">
        <v>21</v>
      </c>
      <c r="F374" s="1">
        <v>137340614</v>
      </c>
      <c r="G374" s="1">
        <v>68988468</v>
      </c>
      <c r="H374" s="1">
        <v>68352146</v>
      </c>
      <c r="I374" s="1">
        <v>6913054</v>
      </c>
      <c r="J374" s="1">
        <v>316529</v>
      </c>
      <c r="K374" s="1">
        <v>5.03</v>
      </c>
      <c r="L374" s="1">
        <v>20.79</v>
      </c>
      <c r="M374" s="1">
        <v>29.82</v>
      </c>
      <c r="N374" s="1">
        <v>10.85</v>
      </c>
      <c r="O374" s="1">
        <v>24.01</v>
      </c>
      <c r="P374" s="1">
        <v>30.22</v>
      </c>
      <c r="Q374" s="1">
        <v>10603.13</v>
      </c>
      <c r="R374" s="1">
        <v>82</v>
      </c>
      <c r="S374" s="1">
        <v>72</v>
      </c>
    </row>
    <row r="375" spans="1:19" ht="15">
      <c r="A375" s="1">
        <v>21</v>
      </c>
      <c r="B375" s="1" t="s">
        <v>45</v>
      </c>
      <c r="C375" s="1" t="s">
        <v>33</v>
      </c>
      <c r="D375" s="1">
        <v>2025</v>
      </c>
      <c r="E375" s="1" t="s">
        <v>22</v>
      </c>
      <c r="F375" s="1">
        <v>31649972</v>
      </c>
      <c r="G375" s="1">
        <v>15871540</v>
      </c>
      <c r="H375" s="1">
        <v>15778432</v>
      </c>
      <c r="I375" s="1">
        <v>1681215</v>
      </c>
      <c r="J375" s="1">
        <v>132315</v>
      </c>
      <c r="K375" s="1">
        <v>5.31</v>
      </c>
      <c r="L375" s="1">
        <v>10.89</v>
      </c>
      <c r="M375" s="1">
        <v>16.97</v>
      </c>
      <c r="N375" s="1">
        <v>11.5</v>
      </c>
      <c r="O375" s="1">
        <v>36.29</v>
      </c>
      <c r="P375" s="1">
        <v>20.36</v>
      </c>
      <c r="Q375" s="1">
        <v>10516.11</v>
      </c>
      <c r="R375" s="1">
        <v>78</v>
      </c>
      <c r="S375" s="1">
        <v>76.2</v>
      </c>
    </row>
    <row r="376" spans="1:19" ht="15">
      <c r="A376" s="1">
        <v>21</v>
      </c>
      <c r="B376" s="1" t="s">
        <v>45</v>
      </c>
      <c r="C376" s="1" t="s">
        <v>33</v>
      </c>
      <c r="D376" s="1">
        <v>2025</v>
      </c>
      <c r="E376" s="1" t="s">
        <v>23</v>
      </c>
      <c r="F376" s="1">
        <v>115863180</v>
      </c>
      <c r="G376" s="1">
        <v>57669298</v>
      </c>
      <c r="H376" s="1">
        <v>58193882</v>
      </c>
      <c r="I376" s="1">
        <v>10940705</v>
      </c>
      <c r="J376" s="1">
        <v>573094</v>
      </c>
      <c r="K376" s="1">
        <v>9.44</v>
      </c>
      <c r="L376" s="1">
        <v>27.29</v>
      </c>
      <c r="M376" s="1">
        <v>15.2</v>
      </c>
      <c r="N376" s="1">
        <v>13.73</v>
      </c>
      <c r="O376" s="1">
        <v>33.96</v>
      </c>
      <c r="P376" s="1">
        <v>15.65</v>
      </c>
      <c r="Q376" s="1">
        <v>1708.03</v>
      </c>
      <c r="R376" s="1">
        <v>44</v>
      </c>
      <c r="S376" s="1">
        <v>77</v>
      </c>
    </row>
    <row r="377" spans="1:19" ht="15">
      <c r="A377" s="1">
        <v>21</v>
      </c>
      <c r="B377" s="1" t="s">
        <v>45</v>
      </c>
      <c r="C377" s="1" t="s">
        <v>33</v>
      </c>
      <c r="D377" s="1">
        <v>2026</v>
      </c>
      <c r="E377" s="1" t="s">
        <v>21</v>
      </c>
      <c r="F377" s="1">
        <v>41679588</v>
      </c>
      <c r="G377" s="1">
        <v>20624301</v>
      </c>
      <c r="H377" s="1">
        <v>21055287</v>
      </c>
      <c r="I377" s="1">
        <v>2639229</v>
      </c>
      <c r="J377" s="1">
        <v>207714</v>
      </c>
      <c r="K377" s="1">
        <v>6.33</v>
      </c>
      <c r="L377" s="1">
        <v>26.94</v>
      </c>
      <c r="M377" s="1">
        <v>34.909999999999997</v>
      </c>
      <c r="N377" s="1">
        <v>6.76</v>
      </c>
      <c r="O377" s="1">
        <v>30.18</v>
      </c>
      <c r="P377" s="1">
        <v>17.43</v>
      </c>
      <c r="Q377" s="1">
        <v>8311.11</v>
      </c>
      <c r="R377" s="1">
        <v>77</v>
      </c>
      <c r="S377" s="1">
        <v>69.3</v>
      </c>
    </row>
    <row r="378" spans="1:19" ht="15">
      <c r="A378" s="1">
        <v>21</v>
      </c>
      <c r="B378" s="1" t="s">
        <v>45</v>
      </c>
      <c r="C378" s="1" t="s">
        <v>33</v>
      </c>
      <c r="D378" s="1">
        <v>2026</v>
      </c>
      <c r="E378" s="1" t="s">
        <v>22</v>
      </c>
      <c r="F378" s="1">
        <v>65504066</v>
      </c>
      <c r="G378" s="1">
        <v>31841871</v>
      </c>
      <c r="H378" s="1">
        <v>33662195</v>
      </c>
      <c r="I378" s="1">
        <v>6256618</v>
      </c>
      <c r="J378" s="1">
        <v>462016</v>
      </c>
      <c r="K378" s="1">
        <v>9.5500000000000007</v>
      </c>
      <c r="L378" s="1">
        <v>29.1</v>
      </c>
      <c r="M378" s="1">
        <v>32.409999999999997</v>
      </c>
      <c r="N378" s="1">
        <v>10.35</v>
      </c>
      <c r="O378" s="1">
        <v>30.31</v>
      </c>
      <c r="P378" s="1">
        <v>29.68</v>
      </c>
      <c r="Q378" s="1">
        <v>9318.4699999999993</v>
      </c>
      <c r="R378" s="1">
        <v>43</v>
      </c>
      <c r="S378" s="1">
        <v>64.5</v>
      </c>
    </row>
    <row r="379" spans="1:19" ht="15">
      <c r="A379" s="1">
        <v>21</v>
      </c>
      <c r="B379" s="1" t="s">
        <v>45</v>
      </c>
      <c r="C379" s="1" t="s">
        <v>33</v>
      </c>
      <c r="D379" s="1">
        <v>2026</v>
      </c>
      <c r="E379" s="1" t="s">
        <v>23</v>
      </c>
      <c r="F379" s="1">
        <v>89577915</v>
      </c>
      <c r="G379" s="1">
        <v>44422022</v>
      </c>
      <c r="H379" s="1">
        <v>45155893</v>
      </c>
      <c r="I379" s="1">
        <v>8015668</v>
      </c>
      <c r="J379" s="1">
        <v>258905</v>
      </c>
      <c r="K379" s="1">
        <v>8.9499999999999993</v>
      </c>
      <c r="L379" s="1">
        <v>22.8</v>
      </c>
      <c r="M379" s="1">
        <v>12.22</v>
      </c>
      <c r="N379" s="1">
        <v>10.42</v>
      </c>
      <c r="O379" s="1">
        <v>24.45</v>
      </c>
      <c r="P379" s="1">
        <v>39.44</v>
      </c>
      <c r="Q379" s="1">
        <v>2038.44</v>
      </c>
      <c r="R379" s="1">
        <v>63</v>
      </c>
      <c r="S379" s="1">
        <v>64.8</v>
      </c>
    </row>
    <row r="380" spans="1:19" ht="15">
      <c r="A380" s="1">
        <v>22</v>
      </c>
      <c r="B380" s="1" t="s">
        <v>46</v>
      </c>
      <c r="C380" s="1" t="s">
        <v>33</v>
      </c>
      <c r="D380" s="1">
        <v>2021</v>
      </c>
      <c r="E380" s="1" t="s">
        <v>21</v>
      </c>
      <c r="F380" s="1">
        <v>64986603</v>
      </c>
      <c r="G380" s="1">
        <v>31867520</v>
      </c>
      <c r="H380" s="1">
        <v>33119083</v>
      </c>
      <c r="I380" s="1">
        <v>5458538</v>
      </c>
      <c r="J380" s="1">
        <v>182481</v>
      </c>
      <c r="K380" s="1">
        <v>8.4</v>
      </c>
      <c r="L380" s="1">
        <v>22.41</v>
      </c>
      <c r="M380" s="1">
        <v>23.03</v>
      </c>
      <c r="N380" s="1">
        <v>5.48</v>
      </c>
      <c r="O380" s="1">
        <v>38.950000000000003</v>
      </c>
      <c r="P380" s="1">
        <v>27.12</v>
      </c>
      <c r="Q380" s="1">
        <v>1135.06</v>
      </c>
      <c r="R380" s="1">
        <v>52</v>
      </c>
      <c r="S380" s="1">
        <v>68.900000000000006</v>
      </c>
    </row>
    <row r="381" spans="1:19" ht="15">
      <c r="A381" s="1">
        <v>22</v>
      </c>
      <c r="B381" s="1" t="s">
        <v>46</v>
      </c>
      <c r="C381" s="1" t="s">
        <v>33</v>
      </c>
      <c r="D381" s="1">
        <v>2021</v>
      </c>
      <c r="E381" s="1" t="s">
        <v>22</v>
      </c>
      <c r="F381" s="1">
        <v>109076789</v>
      </c>
      <c r="G381" s="1">
        <v>52816426</v>
      </c>
      <c r="H381" s="1">
        <v>56260363</v>
      </c>
      <c r="I381" s="1">
        <v>9696714</v>
      </c>
      <c r="J381" s="1">
        <v>720903</v>
      </c>
      <c r="K381" s="1">
        <v>8.89</v>
      </c>
      <c r="L381" s="1">
        <v>24.01</v>
      </c>
      <c r="M381" s="1">
        <v>21.44</v>
      </c>
      <c r="N381" s="1">
        <v>13.28</v>
      </c>
      <c r="O381" s="1">
        <v>20.46</v>
      </c>
      <c r="P381" s="1">
        <v>20.420000000000002</v>
      </c>
      <c r="Q381" s="1">
        <v>7210.46</v>
      </c>
      <c r="R381" s="1">
        <v>78</v>
      </c>
      <c r="S381" s="1">
        <v>75.2</v>
      </c>
    </row>
    <row r="382" spans="1:19" ht="15">
      <c r="A382" s="1">
        <v>22</v>
      </c>
      <c r="B382" s="1" t="s">
        <v>46</v>
      </c>
      <c r="C382" s="1" t="s">
        <v>33</v>
      </c>
      <c r="D382" s="1">
        <v>2021</v>
      </c>
      <c r="E382" s="1" t="s">
        <v>23</v>
      </c>
      <c r="F382" s="1">
        <v>39190480</v>
      </c>
      <c r="G382" s="1">
        <v>19570564</v>
      </c>
      <c r="H382" s="1">
        <v>19619916</v>
      </c>
      <c r="I382" s="1">
        <v>3564099</v>
      </c>
      <c r="J382" s="1">
        <v>282093</v>
      </c>
      <c r="K382" s="1">
        <v>9.09</v>
      </c>
      <c r="L382" s="1">
        <v>11.12</v>
      </c>
      <c r="M382" s="1">
        <v>28.44</v>
      </c>
      <c r="N382" s="1">
        <v>5.61</v>
      </c>
      <c r="O382" s="1">
        <v>30.73</v>
      </c>
      <c r="P382" s="1">
        <v>23.94</v>
      </c>
      <c r="Q382" s="1">
        <v>5994.54</v>
      </c>
      <c r="R382" s="1">
        <v>84</v>
      </c>
      <c r="S382" s="1">
        <v>60.1</v>
      </c>
    </row>
    <row r="383" spans="1:19" ht="15">
      <c r="A383" s="1">
        <v>22</v>
      </c>
      <c r="B383" s="1" t="s">
        <v>46</v>
      </c>
      <c r="C383" s="1" t="s">
        <v>33</v>
      </c>
      <c r="D383" s="1">
        <v>2022</v>
      </c>
      <c r="E383" s="1" t="s">
        <v>21</v>
      </c>
      <c r="F383" s="1">
        <v>148843254</v>
      </c>
      <c r="G383" s="1">
        <v>75208932</v>
      </c>
      <c r="H383" s="1">
        <v>73634322</v>
      </c>
      <c r="I383" s="1">
        <v>13973965</v>
      </c>
      <c r="J383" s="1">
        <v>1040297</v>
      </c>
      <c r="K383" s="1">
        <v>9.39</v>
      </c>
      <c r="L383" s="1">
        <v>20.18</v>
      </c>
      <c r="M383" s="1">
        <v>26.2</v>
      </c>
      <c r="N383" s="1">
        <v>6.56</v>
      </c>
      <c r="O383" s="1">
        <v>24.14</v>
      </c>
      <c r="P383" s="1">
        <v>39.450000000000003</v>
      </c>
      <c r="Q383" s="1">
        <v>910.54</v>
      </c>
      <c r="R383" s="1">
        <v>69</v>
      </c>
      <c r="S383" s="1">
        <v>66.099999999999994</v>
      </c>
    </row>
    <row r="384" spans="1:19" ht="15">
      <c r="A384" s="1">
        <v>22</v>
      </c>
      <c r="B384" s="1" t="s">
        <v>46</v>
      </c>
      <c r="C384" s="1" t="s">
        <v>33</v>
      </c>
      <c r="D384" s="1">
        <v>2022</v>
      </c>
      <c r="E384" s="1" t="s">
        <v>22</v>
      </c>
      <c r="F384" s="1">
        <v>181938407</v>
      </c>
      <c r="G384" s="1">
        <v>91193296</v>
      </c>
      <c r="H384" s="1">
        <v>90745111</v>
      </c>
      <c r="I384" s="1">
        <v>11239967</v>
      </c>
      <c r="J384" s="1">
        <v>387835</v>
      </c>
      <c r="K384" s="1">
        <v>6.18</v>
      </c>
      <c r="L384" s="1">
        <v>27.28</v>
      </c>
      <c r="M384" s="1">
        <v>25.79</v>
      </c>
      <c r="N384" s="1">
        <v>13.77</v>
      </c>
      <c r="O384" s="1">
        <v>32.630000000000003</v>
      </c>
      <c r="P384" s="1">
        <v>32.99</v>
      </c>
      <c r="Q384" s="1">
        <v>1855.27</v>
      </c>
      <c r="R384" s="1">
        <v>64</v>
      </c>
      <c r="S384" s="1">
        <v>62</v>
      </c>
    </row>
    <row r="385" spans="1:19" ht="15">
      <c r="A385" s="1">
        <v>22</v>
      </c>
      <c r="B385" s="1" t="s">
        <v>46</v>
      </c>
      <c r="C385" s="1" t="s">
        <v>33</v>
      </c>
      <c r="D385" s="1">
        <v>2022</v>
      </c>
      <c r="E385" s="1" t="s">
        <v>23</v>
      </c>
      <c r="F385" s="1">
        <v>2610171</v>
      </c>
      <c r="G385" s="1">
        <v>1341711</v>
      </c>
      <c r="H385" s="1">
        <v>1268460</v>
      </c>
      <c r="I385" s="1">
        <v>134825</v>
      </c>
      <c r="J385" s="1">
        <v>4700</v>
      </c>
      <c r="K385" s="1">
        <v>5.17</v>
      </c>
      <c r="L385" s="1">
        <v>12.08</v>
      </c>
      <c r="M385" s="1">
        <v>11.63</v>
      </c>
      <c r="N385" s="1">
        <v>8.31</v>
      </c>
      <c r="O385" s="1">
        <v>31.96</v>
      </c>
      <c r="P385" s="1">
        <v>37.909999999999997</v>
      </c>
      <c r="Q385" s="1">
        <v>2456.79</v>
      </c>
      <c r="R385" s="1">
        <v>50</v>
      </c>
      <c r="S385" s="1">
        <v>82.2</v>
      </c>
    </row>
    <row r="386" spans="1:19" ht="15">
      <c r="A386" s="1">
        <v>22</v>
      </c>
      <c r="B386" s="1" t="s">
        <v>46</v>
      </c>
      <c r="C386" s="1" t="s">
        <v>33</v>
      </c>
      <c r="D386" s="1">
        <v>2023</v>
      </c>
      <c r="E386" s="1" t="s">
        <v>21</v>
      </c>
      <c r="F386" s="1">
        <v>10844517</v>
      </c>
      <c r="G386" s="1">
        <v>5265984</v>
      </c>
      <c r="H386" s="1">
        <v>5578533</v>
      </c>
      <c r="I386" s="1">
        <v>942582</v>
      </c>
      <c r="J386" s="1">
        <v>72054</v>
      </c>
      <c r="K386" s="1">
        <v>8.69</v>
      </c>
      <c r="L386" s="1">
        <v>18.2</v>
      </c>
      <c r="M386" s="1">
        <v>34.64</v>
      </c>
      <c r="N386" s="1">
        <v>8.1300000000000008</v>
      </c>
      <c r="O386" s="1">
        <v>23.29</v>
      </c>
      <c r="P386" s="1">
        <v>36.51</v>
      </c>
      <c r="Q386" s="1">
        <v>8054.85</v>
      </c>
      <c r="R386" s="1">
        <v>84</v>
      </c>
      <c r="S386" s="1">
        <v>60.9</v>
      </c>
    </row>
    <row r="387" spans="1:19" ht="15">
      <c r="A387" s="1">
        <v>22</v>
      </c>
      <c r="B387" s="1" t="s">
        <v>46</v>
      </c>
      <c r="C387" s="1" t="s">
        <v>33</v>
      </c>
      <c r="D387" s="1">
        <v>2023</v>
      </c>
      <c r="E387" s="1" t="s">
        <v>22</v>
      </c>
      <c r="F387" s="1">
        <v>61187976</v>
      </c>
      <c r="G387" s="1">
        <v>30098706</v>
      </c>
      <c r="H387" s="1">
        <v>31089270</v>
      </c>
      <c r="I387" s="1">
        <v>4969710</v>
      </c>
      <c r="J387" s="1">
        <v>290825</v>
      </c>
      <c r="K387" s="1">
        <v>8.1199999999999992</v>
      </c>
      <c r="L387" s="1">
        <v>15.48</v>
      </c>
      <c r="M387" s="1">
        <v>20.43</v>
      </c>
      <c r="N387" s="1">
        <v>8.3800000000000008</v>
      </c>
      <c r="O387" s="1">
        <v>21.52</v>
      </c>
      <c r="P387" s="1">
        <v>31.03</v>
      </c>
      <c r="Q387" s="1">
        <v>6713.9</v>
      </c>
      <c r="R387" s="1">
        <v>83</v>
      </c>
      <c r="S387" s="1">
        <v>78.5</v>
      </c>
    </row>
    <row r="388" spans="1:19" ht="15">
      <c r="A388" s="1">
        <v>22</v>
      </c>
      <c r="B388" s="1" t="s">
        <v>46</v>
      </c>
      <c r="C388" s="1" t="s">
        <v>33</v>
      </c>
      <c r="D388" s="1">
        <v>2023</v>
      </c>
      <c r="E388" s="1" t="s">
        <v>23</v>
      </c>
      <c r="F388" s="1">
        <v>173785717</v>
      </c>
      <c r="G388" s="1">
        <v>86219849</v>
      </c>
      <c r="H388" s="1">
        <v>87565868</v>
      </c>
      <c r="I388" s="1">
        <v>15355613</v>
      </c>
      <c r="J388" s="1">
        <v>939337</v>
      </c>
      <c r="K388" s="1">
        <v>8.84</v>
      </c>
      <c r="L388" s="1">
        <v>28.32</v>
      </c>
      <c r="M388" s="1">
        <v>15.65</v>
      </c>
      <c r="N388" s="1">
        <v>8.02</v>
      </c>
      <c r="O388" s="1">
        <v>29.63</v>
      </c>
      <c r="P388" s="1">
        <v>18.399999999999999</v>
      </c>
      <c r="Q388" s="1">
        <v>7154.31</v>
      </c>
      <c r="R388" s="1">
        <v>42</v>
      </c>
      <c r="S388" s="1">
        <v>77</v>
      </c>
    </row>
    <row r="389" spans="1:19" ht="15">
      <c r="A389" s="1">
        <v>22</v>
      </c>
      <c r="B389" s="1" t="s">
        <v>46</v>
      </c>
      <c r="C389" s="1" t="s">
        <v>33</v>
      </c>
      <c r="D389" s="1">
        <v>2024</v>
      </c>
      <c r="E389" s="1" t="s">
        <v>21</v>
      </c>
      <c r="F389" s="1">
        <v>79519988</v>
      </c>
      <c r="G389" s="1">
        <v>40730125</v>
      </c>
      <c r="H389" s="1">
        <v>38789863</v>
      </c>
      <c r="I389" s="1">
        <v>4363424</v>
      </c>
      <c r="J389" s="1">
        <v>348163</v>
      </c>
      <c r="K389" s="1">
        <v>5.49</v>
      </c>
      <c r="L389" s="1">
        <v>25.66</v>
      </c>
      <c r="M389" s="1">
        <v>28.88</v>
      </c>
      <c r="N389" s="1">
        <v>7.44</v>
      </c>
      <c r="O389" s="1">
        <v>25.11</v>
      </c>
      <c r="P389" s="1">
        <v>36.950000000000003</v>
      </c>
      <c r="Q389" s="1">
        <v>1045.55</v>
      </c>
      <c r="R389" s="1">
        <v>52</v>
      </c>
      <c r="S389" s="1">
        <v>73.900000000000006</v>
      </c>
    </row>
    <row r="390" spans="1:19" ht="15">
      <c r="A390" s="1">
        <v>22</v>
      </c>
      <c r="B390" s="1" t="s">
        <v>46</v>
      </c>
      <c r="C390" s="1" t="s">
        <v>33</v>
      </c>
      <c r="D390" s="1">
        <v>2024</v>
      </c>
      <c r="E390" s="1" t="s">
        <v>22</v>
      </c>
      <c r="F390" s="1">
        <v>25138777</v>
      </c>
      <c r="G390" s="1">
        <v>12304531</v>
      </c>
      <c r="H390" s="1">
        <v>12834246</v>
      </c>
      <c r="I390" s="1">
        <v>1909895</v>
      </c>
      <c r="J390" s="1">
        <v>107943</v>
      </c>
      <c r="K390" s="1">
        <v>7.6</v>
      </c>
      <c r="L390" s="1">
        <v>18.02</v>
      </c>
      <c r="M390" s="1">
        <v>29.99</v>
      </c>
      <c r="N390" s="1">
        <v>7.02</v>
      </c>
      <c r="O390" s="1">
        <v>35.1</v>
      </c>
      <c r="P390" s="1">
        <v>25.36</v>
      </c>
      <c r="Q390" s="1">
        <v>10893.55</v>
      </c>
      <c r="R390" s="1">
        <v>81</v>
      </c>
      <c r="S390" s="1">
        <v>65.3</v>
      </c>
    </row>
    <row r="391" spans="1:19" ht="15">
      <c r="A391" s="1">
        <v>22</v>
      </c>
      <c r="B391" s="1" t="s">
        <v>46</v>
      </c>
      <c r="C391" s="1" t="s">
        <v>33</v>
      </c>
      <c r="D391" s="1">
        <v>2024</v>
      </c>
      <c r="E391" s="1" t="s">
        <v>23</v>
      </c>
      <c r="F391" s="1">
        <v>31745712</v>
      </c>
      <c r="G391" s="1">
        <v>15654998</v>
      </c>
      <c r="H391" s="1">
        <v>16090714</v>
      </c>
      <c r="I391" s="1">
        <v>1917776</v>
      </c>
      <c r="J391" s="1">
        <v>86807</v>
      </c>
      <c r="K391" s="1">
        <v>6.04</v>
      </c>
      <c r="L391" s="1">
        <v>17.68</v>
      </c>
      <c r="M391" s="1">
        <v>29.43</v>
      </c>
      <c r="N391" s="1">
        <v>11.94</v>
      </c>
      <c r="O391" s="1">
        <v>35.659999999999997</v>
      </c>
      <c r="P391" s="1">
        <v>28.75</v>
      </c>
      <c r="Q391" s="1">
        <v>3845.11</v>
      </c>
      <c r="R391" s="1">
        <v>73</v>
      </c>
      <c r="S391" s="1">
        <v>81.900000000000006</v>
      </c>
    </row>
    <row r="392" spans="1:19" ht="15">
      <c r="A392" s="1">
        <v>22</v>
      </c>
      <c r="B392" s="1" t="s">
        <v>46</v>
      </c>
      <c r="C392" s="1" t="s">
        <v>33</v>
      </c>
      <c r="D392" s="1">
        <v>2025</v>
      </c>
      <c r="E392" s="1" t="s">
        <v>21</v>
      </c>
      <c r="F392" s="1">
        <v>29639933</v>
      </c>
      <c r="G392" s="1">
        <v>14969898</v>
      </c>
      <c r="H392" s="1">
        <v>14670035</v>
      </c>
      <c r="I392" s="1">
        <v>1792357</v>
      </c>
      <c r="J392" s="1">
        <v>81285</v>
      </c>
      <c r="K392" s="1">
        <v>6.05</v>
      </c>
      <c r="L392" s="1">
        <v>21.42</v>
      </c>
      <c r="M392" s="1">
        <v>21.61</v>
      </c>
      <c r="N392" s="1">
        <v>5.44</v>
      </c>
      <c r="O392" s="1">
        <v>26.17</v>
      </c>
      <c r="P392" s="1">
        <v>29.25</v>
      </c>
      <c r="Q392" s="1">
        <v>9831.06</v>
      </c>
      <c r="R392" s="1">
        <v>69</v>
      </c>
      <c r="S392" s="1">
        <v>65.400000000000006</v>
      </c>
    </row>
    <row r="393" spans="1:19" ht="15">
      <c r="A393" s="1">
        <v>22</v>
      </c>
      <c r="B393" s="1" t="s">
        <v>46</v>
      </c>
      <c r="C393" s="1" t="s">
        <v>33</v>
      </c>
      <c r="D393" s="1">
        <v>2025</v>
      </c>
      <c r="E393" s="1" t="s">
        <v>22</v>
      </c>
      <c r="F393" s="1">
        <v>39282832</v>
      </c>
      <c r="G393" s="1">
        <v>19517560</v>
      </c>
      <c r="H393" s="1">
        <v>19765272</v>
      </c>
      <c r="I393" s="1">
        <v>2535703</v>
      </c>
      <c r="J393" s="1">
        <v>181489</v>
      </c>
      <c r="K393" s="1">
        <v>6.45</v>
      </c>
      <c r="L393" s="1">
        <v>21.07</v>
      </c>
      <c r="M393" s="1">
        <v>15.44</v>
      </c>
      <c r="N393" s="1">
        <v>9.91</v>
      </c>
      <c r="O393" s="1">
        <v>30.4</v>
      </c>
      <c r="P393" s="1">
        <v>21.68</v>
      </c>
      <c r="Q393" s="1">
        <v>7376.41</v>
      </c>
      <c r="R393" s="1">
        <v>64</v>
      </c>
      <c r="S393" s="1">
        <v>65</v>
      </c>
    </row>
    <row r="394" spans="1:19" ht="15">
      <c r="A394" s="1">
        <v>22</v>
      </c>
      <c r="B394" s="1" t="s">
        <v>46</v>
      </c>
      <c r="C394" s="1" t="s">
        <v>33</v>
      </c>
      <c r="D394" s="1">
        <v>2025</v>
      </c>
      <c r="E394" s="1" t="s">
        <v>23</v>
      </c>
      <c r="F394" s="1">
        <v>154602707</v>
      </c>
      <c r="G394" s="1">
        <v>76064182</v>
      </c>
      <c r="H394" s="1">
        <v>78538525</v>
      </c>
      <c r="I394" s="1">
        <v>8915558</v>
      </c>
      <c r="J394" s="1">
        <v>409909</v>
      </c>
      <c r="K394" s="1">
        <v>5.77</v>
      </c>
      <c r="L394" s="1">
        <v>25.64</v>
      </c>
      <c r="M394" s="1">
        <v>28.62</v>
      </c>
      <c r="N394" s="1">
        <v>14.25</v>
      </c>
      <c r="O394" s="1">
        <v>27.78</v>
      </c>
      <c r="P394" s="1">
        <v>17.46</v>
      </c>
      <c r="Q394" s="1">
        <v>2426.7600000000002</v>
      </c>
      <c r="R394" s="1">
        <v>72</v>
      </c>
      <c r="S394" s="1">
        <v>62.5</v>
      </c>
    </row>
    <row r="395" spans="1:19" ht="15">
      <c r="A395" s="1">
        <v>22</v>
      </c>
      <c r="B395" s="1" t="s">
        <v>46</v>
      </c>
      <c r="C395" s="1" t="s">
        <v>33</v>
      </c>
      <c r="D395" s="1">
        <v>2026</v>
      </c>
      <c r="E395" s="1" t="s">
        <v>21</v>
      </c>
      <c r="F395" s="1">
        <v>103236109</v>
      </c>
      <c r="G395" s="1">
        <v>52450085</v>
      </c>
      <c r="H395" s="1">
        <v>50786024</v>
      </c>
      <c r="I395" s="1">
        <v>6718615</v>
      </c>
      <c r="J395" s="1">
        <v>361512</v>
      </c>
      <c r="K395" s="1">
        <v>6.51</v>
      </c>
      <c r="L395" s="1">
        <v>18.25</v>
      </c>
      <c r="M395" s="1">
        <v>19.34</v>
      </c>
      <c r="N395" s="1">
        <v>13.39</v>
      </c>
      <c r="O395" s="1">
        <v>20.79</v>
      </c>
      <c r="P395" s="1">
        <v>36.94</v>
      </c>
      <c r="Q395" s="1">
        <v>1553.45</v>
      </c>
      <c r="R395" s="1">
        <v>74</v>
      </c>
      <c r="S395" s="1">
        <v>64.5</v>
      </c>
    </row>
    <row r="396" spans="1:19" ht="15">
      <c r="A396" s="1">
        <v>22</v>
      </c>
      <c r="B396" s="1" t="s">
        <v>46</v>
      </c>
      <c r="C396" s="1" t="s">
        <v>33</v>
      </c>
      <c r="D396" s="1">
        <v>2026</v>
      </c>
      <c r="E396" s="1" t="s">
        <v>22</v>
      </c>
      <c r="F396" s="1">
        <v>25674466</v>
      </c>
      <c r="G396" s="1">
        <v>13206358</v>
      </c>
      <c r="H396" s="1">
        <v>12468108</v>
      </c>
      <c r="I396" s="1">
        <v>2539738</v>
      </c>
      <c r="J396" s="1">
        <v>96436</v>
      </c>
      <c r="K396" s="1">
        <v>9.89</v>
      </c>
      <c r="L396" s="1">
        <v>20.92</v>
      </c>
      <c r="M396" s="1">
        <v>24.86</v>
      </c>
      <c r="N396" s="1">
        <v>6.95</v>
      </c>
      <c r="O396" s="1">
        <v>34.520000000000003</v>
      </c>
      <c r="P396" s="1">
        <v>26.49</v>
      </c>
      <c r="Q396" s="1">
        <v>3295.28</v>
      </c>
      <c r="R396" s="1">
        <v>58</v>
      </c>
      <c r="S396" s="1">
        <v>74.400000000000006</v>
      </c>
    </row>
    <row r="397" spans="1:19" ht="15">
      <c r="A397" s="1">
        <v>22</v>
      </c>
      <c r="B397" s="1" t="s">
        <v>46</v>
      </c>
      <c r="C397" s="1" t="s">
        <v>33</v>
      </c>
      <c r="D397" s="1">
        <v>2026</v>
      </c>
      <c r="E397" s="1" t="s">
        <v>23</v>
      </c>
      <c r="F397" s="1">
        <v>49507213</v>
      </c>
      <c r="G397" s="1">
        <v>23832584</v>
      </c>
      <c r="H397" s="1">
        <v>25674629</v>
      </c>
      <c r="I397" s="1">
        <v>4489675</v>
      </c>
      <c r="J397" s="1">
        <v>314772</v>
      </c>
      <c r="K397" s="1">
        <v>9.07</v>
      </c>
      <c r="L397" s="1">
        <v>20.92</v>
      </c>
      <c r="M397" s="1">
        <v>10.64</v>
      </c>
      <c r="N397" s="1">
        <v>11.96</v>
      </c>
      <c r="O397" s="1">
        <v>27.52</v>
      </c>
      <c r="P397" s="1">
        <v>16.71</v>
      </c>
      <c r="Q397" s="1">
        <v>4090.62</v>
      </c>
      <c r="R397" s="1">
        <v>70</v>
      </c>
      <c r="S397" s="1">
        <v>62.8</v>
      </c>
    </row>
    <row r="398" spans="1:19" ht="15">
      <c r="A398" s="1">
        <v>23</v>
      </c>
      <c r="B398" s="1" t="s">
        <v>47</v>
      </c>
      <c r="C398" s="1" t="s">
        <v>33</v>
      </c>
      <c r="D398" s="1">
        <v>2021</v>
      </c>
      <c r="E398" s="1" t="s">
        <v>21</v>
      </c>
      <c r="F398" s="1">
        <v>79503501</v>
      </c>
      <c r="G398" s="1">
        <v>41174929</v>
      </c>
      <c r="H398" s="1">
        <v>38328572</v>
      </c>
      <c r="I398" s="1">
        <v>5668764</v>
      </c>
      <c r="J398" s="1">
        <v>399655</v>
      </c>
      <c r="K398" s="1">
        <v>7.13</v>
      </c>
      <c r="L398" s="1">
        <v>21.95</v>
      </c>
      <c r="M398" s="1">
        <v>19.54</v>
      </c>
      <c r="N398" s="1">
        <v>10.130000000000001</v>
      </c>
      <c r="O398" s="1">
        <v>30.12</v>
      </c>
      <c r="P398" s="1">
        <v>24.47</v>
      </c>
      <c r="Q398" s="1">
        <v>1798.51</v>
      </c>
      <c r="R398" s="1">
        <v>72</v>
      </c>
      <c r="S398" s="1">
        <v>71.599999999999994</v>
      </c>
    </row>
    <row r="399" spans="1:19" ht="15">
      <c r="A399" s="1">
        <v>23</v>
      </c>
      <c r="B399" s="1" t="s">
        <v>47</v>
      </c>
      <c r="C399" s="1" t="s">
        <v>33</v>
      </c>
      <c r="D399" s="1">
        <v>2021</v>
      </c>
      <c r="E399" s="1" t="s">
        <v>22</v>
      </c>
      <c r="F399" s="1">
        <v>167419292</v>
      </c>
      <c r="G399" s="1">
        <v>83741054</v>
      </c>
      <c r="H399" s="1">
        <v>83678238</v>
      </c>
      <c r="I399" s="1">
        <v>12142154</v>
      </c>
      <c r="J399" s="1">
        <v>619101</v>
      </c>
      <c r="K399" s="1">
        <v>7.25</v>
      </c>
      <c r="L399" s="1">
        <v>28.34</v>
      </c>
      <c r="M399" s="1">
        <v>33.08</v>
      </c>
      <c r="N399" s="1">
        <v>12.39</v>
      </c>
      <c r="O399" s="1">
        <v>20.94</v>
      </c>
      <c r="P399" s="1">
        <v>24.62</v>
      </c>
      <c r="Q399" s="1">
        <v>8400.9599999999991</v>
      </c>
      <c r="R399" s="1">
        <v>78</v>
      </c>
      <c r="S399" s="1">
        <v>78.7</v>
      </c>
    </row>
    <row r="400" spans="1:19" ht="15">
      <c r="A400" s="1">
        <v>23</v>
      </c>
      <c r="B400" s="1" t="s">
        <v>47</v>
      </c>
      <c r="C400" s="1" t="s">
        <v>33</v>
      </c>
      <c r="D400" s="1">
        <v>2021</v>
      </c>
      <c r="E400" s="1" t="s">
        <v>23</v>
      </c>
      <c r="F400" s="1">
        <v>110817298</v>
      </c>
      <c r="G400" s="1">
        <v>54458179</v>
      </c>
      <c r="H400" s="1">
        <v>56359119</v>
      </c>
      <c r="I400" s="1">
        <v>10308262</v>
      </c>
      <c r="J400" s="1">
        <v>466542</v>
      </c>
      <c r="K400" s="1">
        <v>9.3000000000000007</v>
      </c>
      <c r="L400" s="1">
        <v>19.260000000000002</v>
      </c>
      <c r="M400" s="1">
        <v>16.43</v>
      </c>
      <c r="N400" s="1">
        <v>12.36</v>
      </c>
      <c r="O400" s="1">
        <v>23.1</v>
      </c>
      <c r="P400" s="1">
        <v>34.93</v>
      </c>
      <c r="Q400" s="1">
        <v>8462.58</v>
      </c>
      <c r="R400" s="1">
        <v>78</v>
      </c>
      <c r="S400" s="1">
        <v>77.5</v>
      </c>
    </row>
    <row r="401" spans="1:19" ht="15">
      <c r="A401" s="1">
        <v>23</v>
      </c>
      <c r="B401" s="1" t="s">
        <v>47</v>
      </c>
      <c r="C401" s="1" t="s">
        <v>33</v>
      </c>
      <c r="D401" s="1">
        <v>2022</v>
      </c>
      <c r="E401" s="1" t="s">
        <v>21</v>
      </c>
      <c r="F401" s="1">
        <v>39106420</v>
      </c>
      <c r="G401" s="1">
        <v>18889118</v>
      </c>
      <c r="H401" s="1">
        <v>20217302</v>
      </c>
      <c r="I401" s="1">
        <v>2796976</v>
      </c>
      <c r="J401" s="1">
        <v>197914</v>
      </c>
      <c r="K401" s="1">
        <v>7.15</v>
      </c>
      <c r="L401" s="1">
        <v>15.16</v>
      </c>
      <c r="M401" s="1">
        <v>25.17</v>
      </c>
      <c r="N401" s="1">
        <v>9.93</v>
      </c>
      <c r="O401" s="1">
        <v>20.02</v>
      </c>
      <c r="P401" s="1">
        <v>25.58</v>
      </c>
      <c r="Q401" s="1">
        <v>11950.99</v>
      </c>
      <c r="R401" s="1">
        <v>55</v>
      </c>
      <c r="S401" s="1">
        <v>64</v>
      </c>
    </row>
    <row r="402" spans="1:19" ht="15">
      <c r="A402" s="1">
        <v>23</v>
      </c>
      <c r="B402" s="1" t="s">
        <v>47</v>
      </c>
      <c r="C402" s="1" t="s">
        <v>33</v>
      </c>
      <c r="D402" s="1">
        <v>2022</v>
      </c>
      <c r="E402" s="1" t="s">
        <v>22</v>
      </c>
      <c r="F402" s="1">
        <v>11450165</v>
      </c>
      <c r="G402" s="1">
        <v>5504274</v>
      </c>
      <c r="H402" s="1">
        <v>5945891</v>
      </c>
      <c r="I402" s="1">
        <v>876788</v>
      </c>
      <c r="J402" s="1">
        <v>37985</v>
      </c>
      <c r="K402" s="1">
        <v>7.66</v>
      </c>
      <c r="L402" s="1">
        <v>10.95</v>
      </c>
      <c r="M402" s="1">
        <v>12.34</v>
      </c>
      <c r="N402" s="1">
        <v>5.79</v>
      </c>
      <c r="O402" s="1">
        <v>33.43</v>
      </c>
      <c r="P402" s="1">
        <v>18.12</v>
      </c>
      <c r="Q402" s="1">
        <v>11520.67</v>
      </c>
      <c r="R402" s="1">
        <v>82</v>
      </c>
      <c r="S402" s="1">
        <v>67</v>
      </c>
    </row>
    <row r="403" spans="1:19" ht="15">
      <c r="A403" s="1">
        <v>23</v>
      </c>
      <c r="B403" s="1" t="s">
        <v>47</v>
      </c>
      <c r="C403" s="1" t="s">
        <v>33</v>
      </c>
      <c r="D403" s="1">
        <v>2022</v>
      </c>
      <c r="E403" s="1" t="s">
        <v>23</v>
      </c>
      <c r="F403" s="1">
        <v>101004865</v>
      </c>
      <c r="G403" s="1">
        <v>52135272</v>
      </c>
      <c r="H403" s="1">
        <v>48869593</v>
      </c>
      <c r="I403" s="1">
        <v>9006014</v>
      </c>
      <c r="J403" s="1">
        <v>426404</v>
      </c>
      <c r="K403" s="1">
        <v>8.92</v>
      </c>
      <c r="L403" s="1">
        <v>21.72</v>
      </c>
      <c r="M403" s="1">
        <v>25.74</v>
      </c>
      <c r="N403" s="1">
        <v>14.37</v>
      </c>
      <c r="O403" s="1">
        <v>39.29</v>
      </c>
      <c r="P403" s="1">
        <v>33.29</v>
      </c>
      <c r="Q403" s="1">
        <v>2308.16</v>
      </c>
      <c r="R403" s="1">
        <v>71</v>
      </c>
      <c r="S403" s="1">
        <v>61.9</v>
      </c>
    </row>
    <row r="404" spans="1:19" ht="15">
      <c r="A404" s="1">
        <v>23</v>
      </c>
      <c r="B404" s="1" t="s">
        <v>47</v>
      </c>
      <c r="C404" s="1" t="s">
        <v>33</v>
      </c>
      <c r="D404" s="1">
        <v>2023</v>
      </c>
      <c r="E404" s="1" t="s">
        <v>21</v>
      </c>
      <c r="F404" s="1">
        <v>119472653</v>
      </c>
      <c r="G404" s="1">
        <v>59406098</v>
      </c>
      <c r="H404" s="1">
        <v>60066555</v>
      </c>
      <c r="I404" s="1">
        <v>10505118</v>
      </c>
      <c r="J404" s="1">
        <v>746197</v>
      </c>
      <c r="K404" s="1">
        <v>8.7899999999999991</v>
      </c>
      <c r="L404" s="1">
        <v>17.22</v>
      </c>
      <c r="M404" s="1">
        <v>17.079999999999998</v>
      </c>
      <c r="N404" s="1">
        <v>12.24</v>
      </c>
      <c r="O404" s="1">
        <v>38.200000000000003</v>
      </c>
      <c r="P404" s="1">
        <v>35.700000000000003</v>
      </c>
      <c r="Q404" s="1">
        <v>8401.61</v>
      </c>
      <c r="R404" s="1">
        <v>75</v>
      </c>
      <c r="S404" s="1">
        <v>67.3</v>
      </c>
    </row>
    <row r="405" spans="1:19" ht="15">
      <c r="A405" s="1">
        <v>23</v>
      </c>
      <c r="B405" s="1" t="s">
        <v>47</v>
      </c>
      <c r="C405" s="1" t="s">
        <v>33</v>
      </c>
      <c r="D405" s="1">
        <v>2023</v>
      </c>
      <c r="E405" s="1" t="s">
        <v>22</v>
      </c>
      <c r="F405" s="1">
        <v>74054369</v>
      </c>
      <c r="G405" s="1">
        <v>37767923</v>
      </c>
      <c r="H405" s="1">
        <v>36286446</v>
      </c>
      <c r="I405" s="1">
        <v>6138374</v>
      </c>
      <c r="J405" s="1">
        <v>188944</v>
      </c>
      <c r="K405" s="1">
        <v>8.2899999999999991</v>
      </c>
      <c r="L405" s="1">
        <v>20.16</v>
      </c>
      <c r="M405" s="1">
        <v>34.450000000000003</v>
      </c>
      <c r="N405" s="1">
        <v>7.94</v>
      </c>
      <c r="O405" s="1">
        <v>39.26</v>
      </c>
      <c r="P405" s="1">
        <v>35.24</v>
      </c>
      <c r="Q405" s="1">
        <v>6844.27</v>
      </c>
      <c r="R405" s="1">
        <v>40</v>
      </c>
      <c r="S405" s="1">
        <v>71.2</v>
      </c>
    </row>
    <row r="406" spans="1:19" ht="15">
      <c r="A406" s="1">
        <v>23</v>
      </c>
      <c r="B406" s="1" t="s">
        <v>47</v>
      </c>
      <c r="C406" s="1" t="s">
        <v>33</v>
      </c>
      <c r="D406" s="1">
        <v>2023</v>
      </c>
      <c r="E406" s="1" t="s">
        <v>23</v>
      </c>
      <c r="F406" s="1">
        <v>33076060</v>
      </c>
      <c r="G406" s="1">
        <v>17137757</v>
      </c>
      <c r="H406" s="1">
        <v>15938303</v>
      </c>
      <c r="I406" s="1">
        <v>1654320</v>
      </c>
      <c r="J406" s="1">
        <v>78712</v>
      </c>
      <c r="K406" s="1">
        <v>5</v>
      </c>
      <c r="L406" s="1">
        <v>16.95</v>
      </c>
      <c r="M406" s="1">
        <v>30.18</v>
      </c>
      <c r="N406" s="1">
        <v>5.48</v>
      </c>
      <c r="O406" s="1">
        <v>24.96</v>
      </c>
      <c r="P406" s="1">
        <v>37.69</v>
      </c>
      <c r="Q406" s="1">
        <v>9268.5499999999993</v>
      </c>
      <c r="R406" s="1">
        <v>65</v>
      </c>
      <c r="S406" s="1">
        <v>77.900000000000006</v>
      </c>
    </row>
    <row r="407" spans="1:19" ht="15">
      <c r="A407" s="1">
        <v>23</v>
      </c>
      <c r="B407" s="1" t="s">
        <v>47</v>
      </c>
      <c r="C407" s="1" t="s">
        <v>33</v>
      </c>
      <c r="D407" s="1">
        <v>2024</v>
      </c>
      <c r="E407" s="1" t="s">
        <v>21</v>
      </c>
      <c r="F407" s="1">
        <v>57008472</v>
      </c>
      <c r="G407" s="1">
        <v>29469396</v>
      </c>
      <c r="H407" s="1">
        <v>27539076</v>
      </c>
      <c r="I407" s="1">
        <v>5624719</v>
      </c>
      <c r="J407" s="1">
        <v>444559</v>
      </c>
      <c r="K407" s="1">
        <v>9.8699999999999992</v>
      </c>
      <c r="L407" s="1">
        <v>20.77</v>
      </c>
      <c r="M407" s="1">
        <v>12.74</v>
      </c>
      <c r="N407" s="1">
        <v>10.220000000000001</v>
      </c>
      <c r="O407" s="1">
        <v>23.24</v>
      </c>
      <c r="P407" s="1">
        <v>28.53</v>
      </c>
      <c r="Q407" s="1">
        <v>1385.11</v>
      </c>
      <c r="R407" s="1">
        <v>45</v>
      </c>
      <c r="S407" s="1">
        <v>61.4</v>
      </c>
    </row>
    <row r="408" spans="1:19" ht="15">
      <c r="A408" s="1">
        <v>23</v>
      </c>
      <c r="B408" s="1" t="s">
        <v>47</v>
      </c>
      <c r="C408" s="1" t="s">
        <v>33</v>
      </c>
      <c r="D408" s="1">
        <v>2024</v>
      </c>
      <c r="E408" s="1" t="s">
        <v>22</v>
      </c>
      <c r="F408" s="1">
        <v>141049970</v>
      </c>
      <c r="G408" s="1">
        <v>69283235</v>
      </c>
      <c r="H408" s="1">
        <v>71766735</v>
      </c>
      <c r="I408" s="1">
        <v>13098376</v>
      </c>
      <c r="J408" s="1">
        <v>461498</v>
      </c>
      <c r="K408" s="1">
        <v>9.2899999999999991</v>
      </c>
      <c r="L408" s="1">
        <v>14.14</v>
      </c>
      <c r="M408" s="1">
        <v>19.149999999999999</v>
      </c>
      <c r="N408" s="1">
        <v>8.4600000000000009</v>
      </c>
      <c r="O408" s="1">
        <v>36.26</v>
      </c>
      <c r="P408" s="1">
        <v>16.95</v>
      </c>
      <c r="Q408" s="1">
        <v>5363.77</v>
      </c>
      <c r="R408" s="1">
        <v>79</v>
      </c>
      <c r="S408" s="1">
        <v>78.099999999999994</v>
      </c>
    </row>
    <row r="409" spans="1:19" ht="15">
      <c r="A409" s="1">
        <v>23</v>
      </c>
      <c r="B409" s="1" t="s">
        <v>47</v>
      </c>
      <c r="C409" s="1" t="s">
        <v>33</v>
      </c>
      <c r="D409" s="1">
        <v>2024</v>
      </c>
      <c r="E409" s="1" t="s">
        <v>23</v>
      </c>
      <c r="F409" s="1">
        <v>162514897</v>
      </c>
      <c r="G409" s="1">
        <v>83950455</v>
      </c>
      <c r="H409" s="1">
        <v>78564442</v>
      </c>
      <c r="I409" s="1">
        <v>8338693</v>
      </c>
      <c r="J409" s="1">
        <v>663847</v>
      </c>
      <c r="K409" s="1">
        <v>5.13</v>
      </c>
      <c r="L409" s="1">
        <v>18.079999999999998</v>
      </c>
      <c r="M409" s="1">
        <v>32.619999999999997</v>
      </c>
      <c r="N409" s="1">
        <v>14.9</v>
      </c>
      <c r="O409" s="1">
        <v>28.73</v>
      </c>
      <c r="P409" s="1">
        <v>27.87</v>
      </c>
      <c r="Q409" s="1">
        <v>5885.46</v>
      </c>
      <c r="R409" s="1">
        <v>84</v>
      </c>
      <c r="S409" s="1">
        <v>71.5</v>
      </c>
    </row>
    <row r="410" spans="1:19" ht="15">
      <c r="A410" s="1">
        <v>23</v>
      </c>
      <c r="B410" s="1" t="s">
        <v>47</v>
      </c>
      <c r="C410" s="1" t="s">
        <v>33</v>
      </c>
      <c r="D410" s="1">
        <v>2025</v>
      </c>
      <c r="E410" s="1" t="s">
        <v>21</v>
      </c>
      <c r="F410" s="1">
        <v>199664895</v>
      </c>
      <c r="G410" s="1">
        <v>101187365</v>
      </c>
      <c r="H410" s="1">
        <v>98477530</v>
      </c>
      <c r="I410" s="1">
        <v>14266171</v>
      </c>
      <c r="J410" s="1">
        <v>942997</v>
      </c>
      <c r="K410" s="1">
        <v>7.15</v>
      </c>
      <c r="L410" s="1">
        <v>23.98</v>
      </c>
      <c r="M410" s="1">
        <v>28.19</v>
      </c>
      <c r="N410" s="1">
        <v>10.74</v>
      </c>
      <c r="O410" s="1">
        <v>29.33</v>
      </c>
      <c r="P410" s="1">
        <v>22.89</v>
      </c>
      <c r="Q410" s="1">
        <v>6746.17</v>
      </c>
      <c r="R410" s="1">
        <v>83</v>
      </c>
      <c r="S410" s="1">
        <v>74</v>
      </c>
    </row>
    <row r="411" spans="1:19" ht="15">
      <c r="A411" s="1">
        <v>23</v>
      </c>
      <c r="B411" s="1" t="s">
        <v>47</v>
      </c>
      <c r="C411" s="1" t="s">
        <v>33</v>
      </c>
      <c r="D411" s="1">
        <v>2025</v>
      </c>
      <c r="E411" s="1" t="s">
        <v>22</v>
      </c>
      <c r="F411" s="1">
        <v>109943243</v>
      </c>
      <c r="G411" s="1">
        <v>53014331</v>
      </c>
      <c r="H411" s="1">
        <v>56928912</v>
      </c>
      <c r="I411" s="1">
        <v>6051851</v>
      </c>
      <c r="J411" s="1">
        <v>405248</v>
      </c>
      <c r="K411" s="1">
        <v>5.5</v>
      </c>
      <c r="L411" s="1">
        <v>24.89</v>
      </c>
      <c r="M411" s="1">
        <v>13.17</v>
      </c>
      <c r="N411" s="1">
        <v>12.65</v>
      </c>
      <c r="O411" s="1">
        <v>39</v>
      </c>
      <c r="P411" s="1">
        <v>38.72</v>
      </c>
      <c r="Q411" s="1">
        <v>6955.95</v>
      </c>
      <c r="R411" s="1">
        <v>73</v>
      </c>
      <c r="S411" s="1">
        <v>77.900000000000006</v>
      </c>
    </row>
    <row r="412" spans="1:19" ht="15">
      <c r="A412" s="1">
        <v>23</v>
      </c>
      <c r="B412" s="1" t="s">
        <v>47</v>
      </c>
      <c r="C412" s="1" t="s">
        <v>33</v>
      </c>
      <c r="D412" s="1">
        <v>2025</v>
      </c>
      <c r="E412" s="1" t="s">
        <v>23</v>
      </c>
      <c r="F412" s="1">
        <v>29878249</v>
      </c>
      <c r="G412" s="1">
        <v>14958719</v>
      </c>
      <c r="H412" s="1">
        <v>14919530</v>
      </c>
      <c r="I412" s="1">
        <v>2845752</v>
      </c>
      <c r="J412" s="1">
        <v>162042</v>
      </c>
      <c r="K412" s="1">
        <v>9.52</v>
      </c>
      <c r="L412" s="1">
        <v>14.22</v>
      </c>
      <c r="M412" s="1">
        <v>12.94</v>
      </c>
      <c r="N412" s="1">
        <v>5.24</v>
      </c>
      <c r="O412" s="1">
        <v>37.85</v>
      </c>
      <c r="P412" s="1">
        <v>38.049999999999997</v>
      </c>
      <c r="Q412" s="1">
        <v>1583.61</v>
      </c>
      <c r="R412" s="1">
        <v>56</v>
      </c>
      <c r="S412" s="1">
        <v>66.8</v>
      </c>
    </row>
    <row r="413" spans="1:19" ht="15">
      <c r="A413" s="1">
        <v>23</v>
      </c>
      <c r="B413" s="1" t="s">
        <v>47</v>
      </c>
      <c r="C413" s="1" t="s">
        <v>33</v>
      </c>
      <c r="D413" s="1">
        <v>2026</v>
      </c>
      <c r="E413" s="1" t="s">
        <v>21</v>
      </c>
      <c r="F413" s="1">
        <v>131354798</v>
      </c>
      <c r="G413" s="1">
        <v>68126684</v>
      </c>
      <c r="H413" s="1">
        <v>63228114</v>
      </c>
      <c r="I413" s="1">
        <v>9526981</v>
      </c>
      <c r="J413" s="1">
        <v>468769</v>
      </c>
      <c r="K413" s="1">
        <v>7.25</v>
      </c>
      <c r="L413" s="1">
        <v>28.01</v>
      </c>
      <c r="M413" s="1">
        <v>17.03</v>
      </c>
      <c r="N413" s="1">
        <v>13.93</v>
      </c>
      <c r="O413" s="1">
        <v>39.119999999999997</v>
      </c>
      <c r="P413" s="1">
        <v>20.53</v>
      </c>
      <c r="Q413" s="1">
        <v>5060.67</v>
      </c>
      <c r="R413" s="1">
        <v>79</v>
      </c>
      <c r="S413" s="1">
        <v>77.5</v>
      </c>
    </row>
    <row r="414" spans="1:19" ht="15">
      <c r="A414" s="1">
        <v>23</v>
      </c>
      <c r="B414" s="1" t="s">
        <v>47</v>
      </c>
      <c r="C414" s="1" t="s">
        <v>33</v>
      </c>
      <c r="D414" s="1">
        <v>2026</v>
      </c>
      <c r="E414" s="1" t="s">
        <v>22</v>
      </c>
      <c r="F414" s="1">
        <v>106532514</v>
      </c>
      <c r="G414" s="1">
        <v>54082643</v>
      </c>
      <c r="H414" s="1">
        <v>52449871</v>
      </c>
      <c r="I414" s="1">
        <v>7605959</v>
      </c>
      <c r="J414" s="1">
        <v>596591</v>
      </c>
      <c r="K414" s="1">
        <v>7.14</v>
      </c>
      <c r="L414" s="1">
        <v>27.18</v>
      </c>
      <c r="M414" s="1">
        <v>33.65</v>
      </c>
      <c r="N414" s="1">
        <v>10.81</v>
      </c>
      <c r="O414" s="1">
        <v>35.090000000000003</v>
      </c>
      <c r="P414" s="1">
        <v>21.38</v>
      </c>
      <c r="Q414" s="1">
        <v>8638.01</v>
      </c>
      <c r="R414" s="1">
        <v>50</v>
      </c>
      <c r="S414" s="1">
        <v>62.8</v>
      </c>
    </row>
    <row r="415" spans="1:19" ht="15">
      <c r="A415" s="1">
        <v>23</v>
      </c>
      <c r="B415" s="1" t="s">
        <v>47</v>
      </c>
      <c r="C415" s="1" t="s">
        <v>33</v>
      </c>
      <c r="D415" s="1">
        <v>2026</v>
      </c>
      <c r="E415" s="1" t="s">
        <v>23</v>
      </c>
      <c r="F415" s="1">
        <v>96548568</v>
      </c>
      <c r="G415" s="1">
        <v>48946300</v>
      </c>
      <c r="H415" s="1">
        <v>47602268</v>
      </c>
      <c r="I415" s="1">
        <v>9037734</v>
      </c>
      <c r="J415" s="1">
        <v>353375</v>
      </c>
      <c r="K415" s="1">
        <v>9.36</v>
      </c>
      <c r="L415" s="1">
        <v>15.37</v>
      </c>
      <c r="M415" s="1">
        <v>12.35</v>
      </c>
      <c r="N415" s="1">
        <v>5.16</v>
      </c>
      <c r="O415" s="1">
        <v>25.5</v>
      </c>
      <c r="P415" s="1">
        <v>26.27</v>
      </c>
      <c r="Q415" s="1">
        <v>1020.16</v>
      </c>
      <c r="R415" s="1">
        <v>53</v>
      </c>
      <c r="S415" s="1">
        <v>63.3</v>
      </c>
    </row>
    <row r="416" spans="1:19" ht="15">
      <c r="A416" s="1">
        <v>24</v>
      </c>
      <c r="B416" s="1" t="s">
        <v>48</v>
      </c>
      <c r="C416" s="1" t="s">
        <v>33</v>
      </c>
      <c r="D416" s="1">
        <v>2021</v>
      </c>
      <c r="E416" s="1" t="s">
        <v>21</v>
      </c>
      <c r="F416" s="1">
        <v>172673948</v>
      </c>
      <c r="G416" s="1">
        <v>88844754</v>
      </c>
      <c r="H416" s="1">
        <v>83829194</v>
      </c>
      <c r="I416" s="1">
        <v>8987054</v>
      </c>
      <c r="J416" s="1">
        <v>611988</v>
      </c>
      <c r="K416" s="1">
        <v>5.2</v>
      </c>
      <c r="L416" s="1">
        <v>16.149999999999999</v>
      </c>
      <c r="M416" s="1">
        <v>20.34</v>
      </c>
      <c r="N416" s="1">
        <v>14.57</v>
      </c>
      <c r="O416" s="1">
        <v>27.11</v>
      </c>
      <c r="P416" s="1">
        <v>19.920000000000002</v>
      </c>
      <c r="Q416" s="1">
        <v>10058.98</v>
      </c>
      <c r="R416" s="1">
        <v>70</v>
      </c>
      <c r="S416" s="1">
        <v>65</v>
      </c>
    </row>
    <row r="417" spans="1:19" ht="15">
      <c r="A417" s="1">
        <v>24</v>
      </c>
      <c r="B417" s="1" t="s">
        <v>48</v>
      </c>
      <c r="C417" s="1" t="s">
        <v>33</v>
      </c>
      <c r="D417" s="1">
        <v>2021</v>
      </c>
      <c r="E417" s="1" t="s">
        <v>22</v>
      </c>
      <c r="F417" s="1">
        <v>81782534</v>
      </c>
      <c r="G417" s="1">
        <v>41236044</v>
      </c>
      <c r="H417" s="1">
        <v>40546490</v>
      </c>
      <c r="I417" s="1">
        <v>4744027</v>
      </c>
      <c r="J417" s="1">
        <v>330350</v>
      </c>
      <c r="K417" s="1">
        <v>5.8</v>
      </c>
      <c r="L417" s="1">
        <v>22.85</v>
      </c>
      <c r="M417" s="1">
        <v>12.38</v>
      </c>
      <c r="N417" s="1">
        <v>12.4</v>
      </c>
      <c r="O417" s="1">
        <v>27.38</v>
      </c>
      <c r="P417" s="1">
        <v>23.59</v>
      </c>
      <c r="Q417" s="1">
        <v>9066.99</v>
      </c>
      <c r="R417" s="1">
        <v>68</v>
      </c>
      <c r="S417" s="1">
        <v>60.9</v>
      </c>
    </row>
    <row r="418" spans="1:19" ht="15">
      <c r="A418" s="1">
        <v>24</v>
      </c>
      <c r="B418" s="1" t="s">
        <v>48</v>
      </c>
      <c r="C418" s="1" t="s">
        <v>33</v>
      </c>
      <c r="D418" s="1">
        <v>2021</v>
      </c>
      <c r="E418" s="1" t="s">
        <v>23</v>
      </c>
      <c r="F418" s="1">
        <v>37565056</v>
      </c>
      <c r="G418" s="1">
        <v>18904132</v>
      </c>
      <c r="H418" s="1">
        <v>18660924</v>
      </c>
      <c r="I418" s="1">
        <v>3214840</v>
      </c>
      <c r="J418" s="1">
        <v>220074</v>
      </c>
      <c r="K418" s="1">
        <v>8.56</v>
      </c>
      <c r="L418" s="1">
        <v>27.21</v>
      </c>
      <c r="M418" s="1">
        <v>31.4</v>
      </c>
      <c r="N418" s="1">
        <v>7.83</v>
      </c>
      <c r="O418" s="1">
        <v>31.12</v>
      </c>
      <c r="P418" s="1">
        <v>28.22</v>
      </c>
      <c r="Q418" s="1">
        <v>8868.41</v>
      </c>
      <c r="R418" s="1">
        <v>74</v>
      </c>
      <c r="S418" s="1">
        <v>78.8</v>
      </c>
    </row>
    <row r="419" spans="1:19" ht="15">
      <c r="A419" s="1">
        <v>24</v>
      </c>
      <c r="B419" s="1" t="s">
        <v>48</v>
      </c>
      <c r="C419" s="1" t="s">
        <v>33</v>
      </c>
      <c r="D419" s="1">
        <v>2022</v>
      </c>
      <c r="E419" s="1" t="s">
        <v>21</v>
      </c>
      <c r="F419" s="1">
        <v>144837949</v>
      </c>
      <c r="G419" s="1">
        <v>72723182</v>
      </c>
      <c r="H419" s="1">
        <v>72114767</v>
      </c>
      <c r="I419" s="1">
        <v>11661297</v>
      </c>
      <c r="J419" s="1">
        <v>431723</v>
      </c>
      <c r="K419" s="1">
        <v>8.0500000000000007</v>
      </c>
      <c r="L419" s="1">
        <v>27.88</v>
      </c>
      <c r="M419" s="1">
        <v>24.22</v>
      </c>
      <c r="N419" s="1">
        <v>6.29</v>
      </c>
      <c r="O419" s="1">
        <v>24.87</v>
      </c>
      <c r="P419" s="1">
        <v>15.83</v>
      </c>
      <c r="Q419" s="1">
        <v>3906.77</v>
      </c>
      <c r="R419" s="1">
        <v>56</v>
      </c>
      <c r="S419" s="1">
        <v>63.5</v>
      </c>
    </row>
    <row r="420" spans="1:19" ht="15">
      <c r="A420" s="1">
        <v>24</v>
      </c>
      <c r="B420" s="1" t="s">
        <v>48</v>
      </c>
      <c r="C420" s="1" t="s">
        <v>33</v>
      </c>
      <c r="D420" s="1">
        <v>2022</v>
      </c>
      <c r="E420" s="1" t="s">
        <v>22</v>
      </c>
      <c r="F420" s="1">
        <v>180552096</v>
      </c>
      <c r="G420" s="1">
        <v>92147508</v>
      </c>
      <c r="H420" s="1">
        <v>88404588</v>
      </c>
      <c r="I420" s="1">
        <v>11469389</v>
      </c>
      <c r="J420" s="1">
        <v>663757</v>
      </c>
      <c r="K420" s="1">
        <v>6.35</v>
      </c>
      <c r="L420" s="1">
        <v>15.29</v>
      </c>
      <c r="M420" s="1">
        <v>10.51</v>
      </c>
      <c r="N420" s="1">
        <v>8.8000000000000007</v>
      </c>
      <c r="O420" s="1">
        <v>33.42</v>
      </c>
      <c r="P420" s="1">
        <v>29.68</v>
      </c>
      <c r="Q420" s="1">
        <v>6954.96</v>
      </c>
      <c r="R420" s="1">
        <v>76</v>
      </c>
      <c r="S420" s="1">
        <v>69.8</v>
      </c>
    </row>
    <row r="421" spans="1:19" ht="15">
      <c r="A421" s="1">
        <v>24</v>
      </c>
      <c r="B421" s="1" t="s">
        <v>48</v>
      </c>
      <c r="C421" s="1" t="s">
        <v>33</v>
      </c>
      <c r="D421" s="1">
        <v>2022</v>
      </c>
      <c r="E421" s="1" t="s">
        <v>23</v>
      </c>
      <c r="F421" s="1">
        <v>71883569</v>
      </c>
      <c r="G421" s="1">
        <v>37251940</v>
      </c>
      <c r="H421" s="1">
        <v>34631629</v>
      </c>
      <c r="I421" s="1">
        <v>3879310</v>
      </c>
      <c r="J421" s="1">
        <v>138569</v>
      </c>
      <c r="K421" s="1">
        <v>5.4</v>
      </c>
      <c r="L421" s="1">
        <v>24.2</v>
      </c>
      <c r="M421" s="1">
        <v>29.38</v>
      </c>
      <c r="N421" s="1">
        <v>9.93</v>
      </c>
      <c r="O421" s="1">
        <v>22.67</v>
      </c>
      <c r="P421" s="1">
        <v>23.35</v>
      </c>
      <c r="Q421" s="1">
        <v>5899.02</v>
      </c>
      <c r="R421" s="1">
        <v>75</v>
      </c>
      <c r="S421" s="1">
        <v>75.099999999999994</v>
      </c>
    </row>
    <row r="422" spans="1:19" ht="15">
      <c r="A422" s="1">
        <v>24</v>
      </c>
      <c r="B422" s="1" t="s">
        <v>48</v>
      </c>
      <c r="C422" s="1" t="s">
        <v>33</v>
      </c>
      <c r="D422" s="1">
        <v>2023</v>
      </c>
      <c r="E422" s="1" t="s">
        <v>21</v>
      </c>
      <c r="F422" s="1">
        <v>167014775</v>
      </c>
      <c r="G422" s="1">
        <v>83561253</v>
      </c>
      <c r="H422" s="1">
        <v>83453522</v>
      </c>
      <c r="I422" s="1">
        <v>14526639</v>
      </c>
      <c r="J422" s="1">
        <v>936103</v>
      </c>
      <c r="K422" s="1">
        <v>8.6999999999999993</v>
      </c>
      <c r="L422" s="1">
        <v>15.19</v>
      </c>
      <c r="M422" s="1">
        <v>15.15</v>
      </c>
      <c r="N422" s="1">
        <v>10.74</v>
      </c>
      <c r="O422" s="1">
        <v>37.08</v>
      </c>
      <c r="P422" s="1">
        <v>39.18</v>
      </c>
      <c r="Q422" s="1">
        <v>1880.61</v>
      </c>
      <c r="R422" s="1">
        <v>56</v>
      </c>
      <c r="S422" s="1">
        <v>76.900000000000006</v>
      </c>
    </row>
    <row r="423" spans="1:19" ht="15">
      <c r="A423" s="1">
        <v>24</v>
      </c>
      <c r="B423" s="1" t="s">
        <v>48</v>
      </c>
      <c r="C423" s="1" t="s">
        <v>33</v>
      </c>
      <c r="D423" s="1">
        <v>2023</v>
      </c>
      <c r="E423" s="1" t="s">
        <v>22</v>
      </c>
      <c r="F423" s="1">
        <v>33639490</v>
      </c>
      <c r="G423" s="1">
        <v>16501808</v>
      </c>
      <c r="H423" s="1">
        <v>17137682</v>
      </c>
      <c r="I423" s="1">
        <v>2575512</v>
      </c>
      <c r="J423" s="1">
        <v>197367</v>
      </c>
      <c r="K423" s="1">
        <v>7.66</v>
      </c>
      <c r="L423" s="1">
        <v>15.83</v>
      </c>
      <c r="M423" s="1">
        <v>13.08</v>
      </c>
      <c r="N423" s="1">
        <v>8.2100000000000009</v>
      </c>
      <c r="O423" s="1">
        <v>26.2</v>
      </c>
      <c r="P423" s="1">
        <v>37.270000000000003</v>
      </c>
      <c r="Q423" s="1">
        <v>8150.39</v>
      </c>
      <c r="R423" s="1">
        <v>51</v>
      </c>
      <c r="S423" s="1">
        <v>76.7</v>
      </c>
    </row>
    <row r="424" spans="1:19" ht="15">
      <c r="A424" s="1">
        <v>24</v>
      </c>
      <c r="B424" s="1" t="s">
        <v>48</v>
      </c>
      <c r="C424" s="1" t="s">
        <v>33</v>
      </c>
      <c r="D424" s="1">
        <v>2023</v>
      </c>
      <c r="E424" s="1" t="s">
        <v>23</v>
      </c>
      <c r="F424" s="1">
        <v>161084413</v>
      </c>
      <c r="G424" s="1">
        <v>80903975</v>
      </c>
      <c r="H424" s="1">
        <v>80180438</v>
      </c>
      <c r="I424" s="1">
        <v>14061991</v>
      </c>
      <c r="J424" s="1">
        <v>449401</v>
      </c>
      <c r="K424" s="1">
        <v>8.73</v>
      </c>
      <c r="L424" s="1">
        <v>26.86</v>
      </c>
      <c r="M424" s="1">
        <v>28.03</v>
      </c>
      <c r="N424" s="1">
        <v>5.43</v>
      </c>
      <c r="O424" s="1">
        <v>33.94</v>
      </c>
      <c r="P424" s="1">
        <v>24.03</v>
      </c>
      <c r="Q424" s="1">
        <v>1359.59</v>
      </c>
      <c r="R424" s="1">
        <v>59</v>
      </c>
      <c r="S424" s="1">
        <v>76.3</v>
      </c>
    </row>
    <row r="425" spans="1:19" ht="15">
      <c r="A425" s="1">
        <v>24</v>
      </c>
      <c r="B425" s="1" t="s">
        <v>48</v>
      </c>
      <c r="C425" s="1" t="s">
        <v>33</v>
      </c>
      <c r="D425" s="1">
        <v>2024</v>
      </c>
      <c r="E425" s="1" t="s">
        <v>21</v>
      </c>
      <c r="F425" s="1">
        <v>120801016</v>
      </c>
      <c r="G425" s="1">
        <v>60994760</v>
      </c>
      <c r="H425" s="1">
        <v>59806256</v>
      </c>
      <c r="I425" s="1">
        <v>7929022</v>
      </c>
      <c r="J425" s="1">
        <v>288081</v>
      </c>
      <c r="K425" s="1">
        <v>6.56</v>
      </c>
      <c r="L425" s="1">
        <v>14.08</v>
      </c>
      <c r="M425" s="1">
        <v>20.14</v>
      </c>
      <c r="N425" s="1">
        <v>7.84</v>
      </c>
      <c r="O425" s="1">
        <v>27.74</v>
      </c>
      <c r="P425" s="1">
        <v>22.84</v>
      </c>
      <c r="Q425" s="1">
        <v>11132.56</v>
      </c>
      <c r="R425" s="1">
        <v>71</v>
      </c>
      <c r="S425" s="1">
        <v>71.400000000000006</v>
      </c>
    </row>
    <row r="426" spans="1:19" ht="15">
      <c r="A426" s="1">
        <v>24</v>
      </c>
      <c r="B426" s="1" t="s">
        <v>48</v>
      </c>
      <c r="C426" s="1" t="s">
        <v>33</v>
      </c>
      <c r="D426" s="1">
        <v>2024</v>
      </c>
      <c r="E426" s="1" t="s">
        <v>22</v>
      </c>
      <c r="F426" s="1">
        <v>196800721</v>
      </c>
      <c r="G426" s="1">
        <v>95300958</v>
      </c>
      <c r="H426" s="1">
        <v>101499763</v>
      </c>
      <c r="I426" s="1">
        <v>17659658</v>
      </c>
      <c r="J426" s="1">
        <v>1218984</v>
      </c>
      <c r="K426" s="1">
        <v>8.9700000000000006</v>
      </c>
      <c r="L426" s="1">
        <v>22.9</v>
      </c>
      <c r="M426" s="1">
        <v>20.99</v>
      </c>
      <c r="N426" s="1">
        <v>14.02</v>
      </c>
      <c r="O426" s="1">
        <v>34.08</v>
      </c>
      <c r="P426" s="1">
        <v>26.49</v>
      </c>
      <c r="Q426" s="1">
        <v>10796.38</v>
      </c>
      <c r="R426" s="1">
        <v>79</v>
      </c>
      <c r="S426" s="1">
        <v>82.9</v>
      </c>
    </row>
    <row r="427" spans="1:19" ht="15">
      <c r="A427" s="1">
        <v>24</v>
      </c>
      <c r="B427" s="1" t="s">
        <v>48</v>
      </c>
      <c r="C427" s="1" t="s">
        <v>33</v>
      </c>
      <c r="D427" s="1">
        <v>2024</v>
      </c>
      <c r="E427" s="1" t="s">
        <v>23</v>
      </c>
      <c r="F427" s="1">
        <v>141675986</v>
      </c>
      <c r="G427" s="1">
        <v>69917793</v>
      </c>
      <c r="H427" s="1">
        <v>71758193</v>
      </c>
      <c r="I427" s="1">
        <v>7995646</v>
      </c>
      <c r="J427" s="1">
        <v>366368</v>
      </c>
      <c r="K427" s="1">
        <v>5.64</v>
      </c>
      <c r="L427" s="1">
        <v>28.74</v>
      </c>
      <c r="M427" s="1">
        <v>24.2</v>
      </c>
      <c r="N427" s="1">
        <v>8.25</v>
      </c>
      <c r="O427" s="1">
        <v>36.64</v>
      </c>
      <c r="P427" s="1">
        <v>25.49</v>
      </c>
      <c r="Q427" s="1">
        <v>8512.69</v>
      </c>
      <c r="R427" s="1">
        <v>70</v>
      </c>
      <c r="S427" s="1">
        <v>82.8</v>
      </c>
    </row>
    <row r="428" spans="1:19" ht="15">
      <c r="A428" s="1">
        <v>24</v>
      </c>
      <c r="B428" s="1" t="s">
        <v>48</v>
      </c>
      <c r="C428" s="1" t="s">
        <v>33</v>
      </c>
      <c r="D428" s="1">
        <v>2025</v>
      </c>
      <c r="E428" s="1" t="s">
        <v>21</v>
      </c>
      <c r="F428" s="1">
        <v>8172323</v>
      </c>
      <c r="G428" s="1">
        <v>4161230</v>
      </c>
      <c r="H428" s="1">
        <v>4011093</v>
      </c>
      <c r="I428" s="1">
        <v>524542</v>
      </c>
      <c r="J428" s="1">
        <v>38054</v>
      </c>
      <c r="K428" s="1">
        <v>6.42</v>
      </c>
      <c r="L428" s="1">
        <v>17.399999999999999</v>
      </c>
      <c r="M428" s="1">
        <v>27.65</v>
      </c>
      <c r="N428" s="1">
        <v>5.61</v>
      </c>
      <c r="O428" s="1">
        <v>28.55</v>
      </c>
      <c r="P428" s="1">
        <v>33.1</v>
      </c>
      <c r="Q428" s="1">
        <v>3161.99</v>
      </c>
      <c r="R428" s="1">
        <v>69</v>
      </c>
      <c r="S428" s="1">
        <v>72.5</v>
      </c>
    </row>
    <row r="429" spans="1:19" ht="15">
      <c r="A429" s="1">
        <v>24</v>
      </c>
      <c r="B429" s="1" t="s">
        <v>48</v>
      </c>
      <c r="C429" s="1" t="s">
        <v>33</v>
      </c>
      <c r="D429" s="1">
        <v>2025</v>
      </c>
      <c r="E429" s="1" t="s">
        <v>22</v>
      </c>
      <c r="F429" s="1">
        <v>63487479</v>
      </c>
      <c r="G429" s="1">
        <v>32189738</v>
      </c>
      <c r="H429" s="1">
        <v>31297741</v>
      </c>
      <c r="I429" s="1">
        <v>4966105</v>
      </c>
      <c r="J429" s="1">
        <v>259903</v>
      </c>
      <c r="K429" s="1">
        <v>7.82</v>
      </c>
      <c r="L429" s="1">
        <v>16.45</v>
      </c>
      <c r="M429" s="1">
        <v>23.58</v>
      </c>
      <c r="N429" s="1">
        <v>6.04</v>
      </c>
      <c r="O429" s="1">
        <v>25.43</v>
      </c>
      <c r="P429" s="1">
        <v>37.28</v>
      </c>
      <c r="Q429" s="1">
        <v>1853.7</v>
      </c>
      <c r="R429" s="1">
        <v>66</v>
      </c>
      <c r="S429" s="1">
        <v>71.2</v>
      </c>
    </row>
    <row r="430" spans="1:19" ht="15">
      <c r="A430" s="1">
        <v>24</v>
      </c>
      <c r="B430" s="1" t="s">
        <v>48</v>
      </c>
      <c r="C430" s="1" t="s">
        <v>33</v>
      </c>
      <c r="D430" s="1">
        <v>2025</v>
      </c>
      <c r="E430" s="1" t="s">
        <v>23</v>
      </c>
      <c r="F430" s="1">
        <v>142982515</v>
      </c>
      <c r="G430" s="1">
        <v>73239373</v>
      </c>
      <c r="H430" s="1">
        <v>69743142</v>
      </c>
      <c r="I430" s="1">
        <v>8981091</v>
      </c>
      <c r="J430" s="1">
        <v>463012</v>
      </c>
      <c r="K430" s="1">
        <v>6.28</v>
      </c>
      <c r="L430" s="1">
        <v>16.23</v>
      </c>
      <c r="M430" s="1">
        <v>16</v>
      </c>
      <c r="N430" s="1">
        <v>8.2100000000000009</v>
      </c>
      <c r="O430" s="1">
        <v>37.909999999999997</v>
      </c>
      <c r="P430" s="1">
        <v>36.020000000000003</v>
      </c>
      <c r="Q430" s="1">
        <v>6891.78</v>
      </c>
      <c r="R430" s="1">
        <v>79</v>
      </c>
      <c r="S430" s="1">
        <v>73</v>
      </c>
    </row>
    <row r="431" spans="1:19" ht="15">
      <c r="A431" s="1">
        <v>24</v>
      </c>
      <c r="B431" s="1" t="s">
        <v>48</v>
      </c>
      <c r="C431" s="1" t="s">
        <v>33</v>
      </c>
      <c r="D431" s="1">
        <v>2026</v>
      </c>
      <c r="E431" s="1" t="s">
        <v>21</v>
      </c>
      <c r="F431" s="1">
        <v>168061188</v>
      </c>
      <c r="G431" s="1">
        <v>85364483</v>
      </c>
      <c r="H431" s="1">
        <v>82696705</v>
      </c>
      <c r="I431" s="1">
        <v>15145029</v>
      </c>
      <c r="J431" s="1">
        <v>790724</v>
      </c>
      <c r="K431" s="1">
        <v>9.01</v>
      </c>
      <c r="L431" s="1">
        <v>25.47</v>
      </c>
      <c r="M431" s="1">
        <v>33.840000000000003</v>
      </c>
      <c r="N431" s="1">
        <v>11.74</v>
      </c>
      <c r="O431" s="1">
        <v>35.14</v>
      </c>
      <c r="P431" s="1">
        <v>17.23</v>
      </c>
      <c r="Q431" s="1">
        <v>3389.21</v>
      </c>
      <c r="R431" s="1">
        <v>60</v>
      </c>
      <c r="S431" s="1">
        <v>67.400000000000006</v>
      </c>
    </row>
    <row r="432" spans="1:19" ht="15">
      <c r="A432" s="1">
        <v>24</v>
      </c>
      <c r="B432" s="1" t="s">
        <v>48</v>
      </c>
      <c r="C432" s="1" t="s">
        <v>33</v>
      </c>
      <c r="D432" s="1">
        <v>2026</v>
      </c>
      <c r="E432" s="1" t="s">
        <v>22</v>
      </c>
      <c r="F432" s="1">
        <v>159668663</v>
      </c>
      <c r="G432" s="1">
        <v>81474414</v>
      </c>
      <c r="H432" s="1">
        <v>78194249</v>
      </c>
      <c r="I432" s="1">
        <v>9369088</v>
      </c>
      <c r="J432" s="1">
        <v>395653</v>
      </c>
      <c r="K432" s="1">
        <v>5.87</v>
      </c>
      <c r="L432" s="1">
        <v>19.52</v>
      </c>
      <c r="M432" s="1">
        <v>30.83</v>
      </c>
      <c r="N432" s="1">
        <v>9.56</v>
      </c>
      <c r="O432" s="1">
        <v>35.65</v>
      </c>
      <c r="P432" s="1">
        <v>23.37</v>
      </c>
      <c r="Q432" s="1">
        <v>5141.04</v>
      </c>
      <c r="R432" s="1">
        <v>56</v>
      </c>
      <c r="S432" s="1">
        <v>71</v>
      </c>
    </row>
    <row r="433" spans="1:19" ht="15">
      <c r="A433" s="1">
        <v>24</v>
      </c>
      <c r="B433" s="1" t="s">
        <v>48</v>
      </c>
      <c r="C433" s="1" t="s">
        <v>33</v>
      </c>
      <c r="D433" s="1">
        <v>2026</v>
      </c>
      <c r="E433" s="1" t="s">
        <v>23</v>
      </c>
      <c r="F433" s="1">
        <v>10771856</v>
      </c>
      <c r="G433" s="1">
        <v>5315114</v>
      </c>
      <c r="H433" s="1">
        <v>5456742</v>
      </c>
      <c r="I433" s="1">
        <v>718904</v>
      </c>
      <c r="J433" s="1">
        <v>42346</v>
      </c>
      <c r="K433" s="1">
        <v>6.67</v>
      </c>
      <c r="L433" s="1">
        <v>12.74</v>
      </c>
      <c r="M433" s="1">
        <v>29.1</v>
      </c>
      <c r="N433" s="1">
        <v>12.53</v>
      </c>
      <c r="O433" s="1">
        <v>33.659999999999997</v>
      </c>
      <c r="P433" s="1">
        <v>22.65</v>
      </c>
      <c r="Q433" s="1">
        <v>10344.6</v>
      </c>
      <c r="R433" s="1">
        <v>47</v>
      </c>
      <c r="S433" s="1">
        <v>67.8</v>
      </c>
    </row>
    <row r="434" spans="1:19" ht="15">
      <c r="A434" s="1">
        <v>25</v>
      </c>
      <c r="B434" s="1" t="s">
        <v>49</v>
      </c>
      <c r="C434" s="1" t="s">
        <v>33</v>
      </c>
      <c r="D434" s="1">
        <v>2021</v>
      </c>
      <c r="E434" s="1" t="s">
        <v>21</v>
      </c>
      <c r="F434" s="1">
        <v>56504519</v>
      </c>
      <c r="G434" s="1">
        <v>27513104</v>
      </c>
      <c r="H434" s="1">
        <v>28991415</v>
      </c>
      <c r="I434" s="1">
        <v>2952204</v>
      </c>
      <c r="J434" s="1">
        <v>184359</v>
      </c>
      <c r="K434" s="1">
        <v>5.22</v>
      </c>
      <c r="L434" s="1">
        <v>19.43</v>
      </c>
      <c r="M434" s="1">
        <v>15.75</v>
      </c>
      <c r="N434" s="1">
        <v>8.73</v>
      </c>
      <c r="O434" s="1">
        <v>28.87</v>
      </c>
      <c r="P434" s="1">
        <v>21.45</v>
      </c>
      <c r="Q434" s="1">
        <v>3392.99</v>
      </c>
      <c r="R434" s="1">
        <v>55</v>
      </c>
      <c r="S434" s="1">
        <v>61.9</v>
      </c>
    </row>
    <row r="435" spans="1:19" ht="15">
      <c r="A435" s="1">
        <v>25</v>
      </c>
      <c r="B435" s="1" t="s">
        <v>49</v>
      </c>
      <c r="C435" s="1" t="s">
        <v>33</v>
      </c>
      <c r="D435" s="1">
        <v>2021</v>
      </c>
      <c r="E435" s="1" t="s">
        <v>22</v>
      </c>
      <c r="F435" s="1">
        <v>195462838</v>
      </c>
      <c r="G435" s="1">
        <v>93890390</v>
      </c>
      <c r="H435" s="1">
        <v>101572448</v>
      </c>
      <c r="I435" s="1">
        <v>13385193</v>
      </c>
      <c r="J435" s="1">
        <v>512859</v>
      </c>
      <c r="K435" s="1">
        <v>6.85</v>
      </c>
      <c r="L435" s="1">
        <v>20.05</v>
      </c>
      <c r="M435" s="1">
        <v>33.56</v>
      </c>
      <c r="N435" s="1">
        <v>9.7799999999999994</v>
      </c>
      <c r="O435" s="1">
        <v>28.07</v>
      </c>
      <c r="P435" s="1">
        <v>37.72</v>
      </c>
      <c r="Q435" s="1">
        <v>6988.9</v>
      </c>
      <c r="R435" s="1">
        <v>48</v>
      </c>
      <c r="S435" s="1">
        <v>72.8</v>
      </c>
    </row>
    <row r="436" spans="1:19" ht="15">
      <c r="A436" s="1">
        <v>25</v>
      </c>
      <c r="B436" s="1" t="s">
        <v>49</v>
      </c>
      <c r="C436" s="1" t="s">
        <v>33</v>
      </c>
      <c r="D436" s="1">
        <v>2021</v>
      </c>
      <c r="E436" s="1" t="s">
        <v>23</v>
      </c>
      <c r="F436" s="1">
        <v>182955473</v>
      </c>
      <c r="G436" s="1">
        <v>94157960</v>
      </c>
      <c r="H436" s="1">
        <v>88797513</v>
      </c>
      <c r="I436" s="1">
        <v>18258907</v>
      </c>
      <c r="J436" s="1">
        <v>619254</v>
      </c>
      <c r="K436" s="1">
        <v>9.98</v>
      </c>
      <c r="L436" s="1">
        <v>16.75</v>
      </c>
      <c r="M436" s="1">
        <v>31.28</v>
      </c>
      <c r="N436" s="1">
        <v>6.74</v>
      </c>
      <c r="O436" s="1">
        <v>34.659999999999997</v>
      </c>
      <c r="P436" s="1">
        <v>33.14</v>
      </c>
      <c r="Q436" s="1">
        <v>7854.91</v>
      </c>
      <c r="R436" s="1">
        <v>51</v>
      </c>
      <c r="S436" s="1">
        <v>67.7</v>
      </c>
    </row>
    <row r="437" spans="1:19" ht="15">
      <c r="A437" s="1">
        <v>25</v>
      </c>
      <c r="B437" s="1" t="s">
        <v>49</v>
      </c>
      <c r="C437" s="1" t="s">
        <v>33</v>
      </c>
      <c r="D437" s="1">
        <v>2022</v>
      </c>
      <c r="E437" s="1" t="s">
        <v>21</v>
      </c>
      <c r="F437" s="1">
        <v>97743182</v>
      </c>
      <c r="G437" s="1">
        <v>49359203</v>
      </c>
      <c r="H437" s="1">
        <v>48383979</v>
      </c>
      <c r="I437" s="1">
        <v>8433122</v>
      </c>
      <c r="J437" s="1">
        <v>421947</v>
      </c>
      <c r="K437" s="1">
        <v>8.6300000000000008</v>
      </c>
      <c r="L437" s="1">
        <v>22.66</v>
      </c>
      <c r="M437" s="1">
        <v>10.44</v>
      </c>
      <c r="N437" s="1">
        <v>5.68</v>
      </c>
      <c r="O437" s="1">
        <v>23.91</v>
      </c>
      <c r="P437" s="1">
        <v>16.78</v>
      </c>
      <c r="Q437" s="1">
        <v>6002.01</v>
      </c>
      <c r="R437" s="1">
        <v>69</v>
      </c>
      <c r="S437" s="1">
        <v>76.3</v>
      </c>
    </row>
    <row r="438" spans="1:19" ht="15">
      <c r="A438" s="1">
        <v>25</v>
      </c>
      <c r="B438" s="1" t="s">
        <v>49</v>
      </c>
      <c r="C438" s="1" t="s">
        <v>33</v>
      </c>
      <c r="D438" s="1">
        <v>2022</v>
      </c>
      <c r="E438" s="1" t="s">
        <v>22</v>
      </c>
      <c r="F438" s="1">
        <v>124519882</v>
      </c>
      <c r="G438" s="1">
        <v>62590041</v>
      </c>
      <c r="H438" s="1">
        <v>61929841</v>
      </c>
      <c r="I438" s="1">
        <v>11195116</v>
      </c>
      <c r="J438" s="1">
        <v>608999</v>
      </c>
      <c r="K438" s="1">
        <v>8.99</v>
      </c>
      <c r="L438" s="1">
        <v>24.22</v>
      </c>
      <c r="M438" s="1">
        <v>31.39</v>
      </c>
      <c r="N438" s="1">
        <v>9.15</v>
      </c>
      <c r="O438" s="1">
        <v>21.38</v>
      </c>
      <c r="P438" s="1">
        <v>20.37</v>
      </c>
      <c r="Q438" s="1">
        <v>814.76</v>
      </c>
      <c r="R438" s="1">
        <v>40</v>
      </c>
      <c r="S438" s="1">
        <v>66.099999999999994</v>
      </c>
    </row>
    <row r="439" spans="1:19" ht="15">
      <c r="A439" s="1">
        <v>25</v>
      </c>
      <c r="B439" s="1" t="s">
        <v>49</v>
      </c>
      <c r="C439" s="1" t="s">
        <v>33</v>
      </c>
      <c r="D439" s="1">
        <v>2022</v>
      </c>
      <c r="E439" s="1" t="s">
        <v>23</v>
      </c>
      <c r="F439" s="1">
        <v>11403661</v>
      </c>
      <c r="G439" s="1">
        <v>5761667</v>
      </c>
      <c r="H439" s="1">
        <v>5641994</v>
      </c>
      <c r="I439" s="1">
        <v>1012303</v>
      </c>
      <c r="J439" s="1">
        <v>70676</v>
      </c>
      <c r="K439" s="1">
        <v>8.8800000000000008</v>
      </c>
      <c r="L439" s="1">
        <v>23.24</v>
      </c>
      <c r="M439" s="1">
        <v>17.55</v>
      </c>
      <c r="N439" s="1">
        <v>9.08</v>
      </c>
      <c r="O439" s="1">
        <v>26.31</v>
      </c>
      <c r="P439" s="1">
        <v>19.86</v>
      </c>
      <c r="Q439" s="1">
        <v>8627.39</v>
      </c>
      <c r="R439" s="1">
        <v>77</v>
      </c>
      <c r="S439" s="1">
        <v>62.9</v>
      </c>
    </row>
    <row r="440" spans="1:19" ht="15">
      <c r="A440" s="1">
        <v>25</v>
      </c>
      <c r="B440" s="1" t="s">
        <v>49</v>
      </c>
      <c r="C440" s="1" t="s">
        <v>33</v>
      </c>
      <c r="D440" s="1">
        <v>2023</v>
      </c>
      <c r="E440" s="1" t="s">
        <v>21</v>
      </c>
      <c r="F440" s="1">
        <v>124169002</v>
      </c>
      <c r="G440" s="1">
        <v>62757679</v>
      </c>
      <c r="H440" s="1">
        <v>61411323</v>
      </c>
      <c r="I440" s="1">
        <v>11697985</v>
      </c>
      <c r="J440" s="1">
        <v>577554</v>
      </c>
      <c r="K440" s="1">
        <v>9.42</v>
      </c>
      <c r="L440" s="1">
        <v>27.01</v>
      </c>
      <c r="M440" s="1">
        <v>30.06</v>
      </c>
      <c r="N440" s="1">
        <v>9.94</v>
      </c>
      <c r="O440" s="1">
        <v>33.65</v>
      </c>
      <c r="P440" s="1">
        <v>24.31</v>
      </c>
      <c r="Q440" s="1">
        <v>813.58</v>
      </c>
      <c r="R440" s="1">
        <v>72</v>
      </c>
      <c r="S440" s="1">
        <v>73.5</v>
      </c>
    </row>
    <row r="441" spans="1:19" ht="15">
      <c r="A441" s="1">
        <v>25</v>
      </c>
      <c r="B441" s="1" t="s">
        <v>49</v>
      </c>
      <c r="C441" s="1" t="s">
        <v>33</v>
      </c>
      <c r="D441" s="1">
        <v>2023</v>
      </c>
      <c r="E441" s="1" t="s">
        <v>22</v>
      </c>
      <c r="F441" s="1">
        <v>98711740</v>
      </c>
      <c r="G441" s="1">
        <v>50415157</v>
      </c>
      <c r="H441" s="1">
        <v>48296583</v>
      </c>
      <c r="I441" s="1">
        <v>4977908</v>
      </c>
      <c r="J441" s="1">
        <v>177705</v>
      </c>
      <c r="K441" s="1">
        <v>5.04</v>
      </c>
      <c r="L441" s="1">
        <v>15.44</v>
      </c>
      <c r="M441" s="1">
        <v>20.57</v>
      </c>
      <c r="N441" s="1">
        <v>12.4</v>
      </c>
      <c r="O441" s="1">
        <v>38.19</v>
      </c>
      <c r="P441" s="1">
        <v>26.34</v>
      </c>
      <c r="Q441" s="1">
        <v>9963.5400000000009</v>
      </c>
      <c r="R441" s="1">
        <v>53</v>
      </c>
      <c r="S441" s="1">
        <v>75.099999999999994</v>
      </c>
    </row>
    <row r="442" spans="1:19" ht="15">
      <c r="A442" s="1">
        <v>25</v>
      </c>
      <c r="B442" s="1" t="s">
        <v>49</v>
      </c>
      <c r="C442" s="1" t="s">
        <v>33</v>
      </c>
      <c r="D442" s="1">
        <v>2023</v>
      </c>
      <c r="E442" s="1" t="s">
        <v>23</v>
      </c>
      <c r="F442" s="1">
        <v>76819678</v>
      </c>
      <c r="G442" s="1">
        <v>37304251</v>
      </c>
      <c r="H442" s="1">
        <v>39515427</v>
      </c>
      <c r="I442" s="1">
        <v>4919316</v>
      </c>
      <c r="J442" s="1">
        <v>367881</v>
      </c>
      <c r="K442" s="1">
        <v>6.4</v>
      </c>
      <c r="L442" s="1">
        <v>10.1</v>
      </c>
      <c r="M442" s="1">
        <v>10.06</v>
      </c>
      <c r="N442" s="1">
        <v>13.54</v>
      </c>
      <c r="O442" s="1">
        <v>35.17</v>
      </c>
      <c r="P442" s="1">
        <v>36.22</v>
      </c>
      <c r="Q442" s="1">
        <v>8578.2800000000007</v>
      </c>
      <c r="R442" s="1">
        <v>45</v>
      </c>
      <c r="S442" s="1">
        <v>78.5</v>
      </c>
    </row>
    <row r="443" spans="1:19" ht="15">
      <c r="A443" s="1">
        <v>25</v>
      </c>
      <c r="B443" s="1" t="s">
        <v>49</v>
      </c>
      <c r="C443" s="1" t="s">
        <v>33</v>
      </c>
      <c r="D443" s="1">
        <v>2024</v>
      </c>
      <c r="E443" s="1" t="s">
        <v>21</v>
      </c>
      <c r="F443" s="1">
        <v>144672802</v>
      </c>
      <c r="G443" s="1">
        <v>72788384</v>
      </c>
      <c r="H443" s="1">
        <v>71884418</v>
      </c>
      <c r="I443" s="1">
        <v>9806852</v>
      </c>
      <c r="J443" s="1">
        <v>556655</v>
      </c>
      <c r="K443" s="1">
        <v>6.78</v>
      </c>
      <c r="L443" s="1">
        <v>16.28</v>
      </c>
      <c r="M443" s="1">
        <v>15.42</v>
      </c>
      <c r="N443" s="1">
        <v>6.83</v>
      </c>
      <c r="O443" s="1">
        <v>22.23</v>
      </c>
      <c r="P443" s="1">
        <v>24.48</v>
      </c>
      <c r="Q443" s="1">
        <v>10046.61</v>
      </c>
      <c r="R443" s="1">
        <v>44</v>
      </c>
      <c r="S443" s="1">
        <v>73.2</v>
      </c>
    </row>
    <row r="444" spans="1:19" ht="15">
      <c r="A444" s="1">
        <v>25</v>
      </c>
      <c r="B444" s="1" t="s">
        <v>49</v>
      </c>
      <c r="C444" s="1" t="s">
        <v>33</v>
      </c>
      <c r="D444" s="1">
        <v>2024</v>
      </c>
      <c r="E444" s="1" t="s">
        <v>22</v>
      </c>
      <c r="F444" s="1">
        <v>20904089</v>
      </c>
      <c r="G444" s="1">
        <v>10792303</v>
      </c>
      <c r="H444" s="1">
        <v>10111786</v>
      </c>
      <c r="I444" s="1">
        <v>1427993</v>
      </c>
      <c r="J444" s="1">
        <v>74741</v>
      </c>
      <c r="K444" s="1">
        <v>6.83</v>
      </c>
      <c r="L444" s="1">
        <v>25.71</v>
      </c>
      <c r="M444" s="1">
        <v>20.309999999999999</v>
      </c>
      <c r="N444" s="1">
        <v>7.55</v>
      </c>
      <c r="O444" s="1">
        <v>28.04</v>
      </c>
      <c r="P444" s="1">
        <v>28.72</v>
      </c>
      <c r="Q444" s="1">
        <v>11010.2</v>
      </c>
      <c r="R444" s="1">
        <v>53</v>
      </c>
      <c r="S444" s="1">
        <v>77.400000000000006</v>
      </c>
    </row>
    <row r="445" spans="1:19" ht="15">
      <c r="A445" s="1">
        <v>25</v>
      </c>
      <c r="B445" s="1" t="s">
        <v>49</v>
      </c>
      <c r="C445" s="1" t="s">
        <v>33</v>
      </c>
      <c r="D445" s="1">
        <v>2024</v>
      </c>
      <c r="E445" s="1" t="s">
        <v>23</v>
      </c>
      <c r="F445" s="1">
        <v>49691738</v>
      </c>
      <c r="G445" s="1">
        <v>24865639</v>
      </c>
      <c r="H445" s="1">
        <v>24826099</v>
      </c>
      <c r="I445" s="1">
        <v>3661267</v>
      </c>
      <c r="J445" s="1">
        <v>184587</v>
      </c>
      <c r="K445" s="1">
        <v>7.37</v>
      </c>
      <c r="L445" s="1">
        <v>13.36</v>
      </c>
      <c r="M445" s="1">
        <v>30.54</v>
      </c>
      <c r="N445" s="1">
        <v>5.97</v>
      </c>
      <c r="O445" s="1">
        <v>25.8</v>
      </c>
      <c r="P445" s="1">
        <v>20.58</v>
      </c>
      <c r="Q445" s="1">
        <v>6992.28</v>
      </c>
      <c r="R445" s="1">
        <v>80</v>
      </c>
      <c r="S445" s="1">
        <v>73.900000000000006</v>
      </c>
    </row>
    <row r="446" spans="1:19" ht="15">
      <c r="A446" s="1">
        <v>25</v>
      </c>
      <c r="B446" s="1" t="s">
        <v>49</v>
      </c>
      <c r="C446" s="1" t="s">
        <v>33</v>
      </c>
      <c r="D446" s="1">
        <v>2025</v>
      </c>
      <c r="E446" s="1" t="s">
        <v>21</v>
      </c>
      <c r="F446" s="1">
        <v>167367578</v>
      </c>
      <c r="G446" s="1">
        <v>81533533</v>
      </c>
      <c r="H446" s="1">
        <v>85834045</v>
      </c>
      <c r="I446" s="1">
        <v>10341328</v>
      </c>
      <c r="J446" s="1">
        <v>482744</v>
      </c>
      <c r="K446" s="1">
        <v>6.18</v>
      </c>
      <c r="L446" s="1">
        <v>17.78</v>
      </c>
      <c r="M446" s="1">
        <v>29.65</v>
      </c>
      <c r="N446" s="1">
        <v>14.06</v>
      </c>
      <c r="O446" s="1">
        <v>33.08</v>
      </c>
      <c r="P446" s="1">
        <v>16.38</v>
      </c>
      <c r="Q446" s="1">
        <v>5831.58</v>
      </c>
      <c r="R446" s="1">
        <v>52</v>
      </c>
      <c r="S446" s="1">
        <v>70.8</v>
      </c>
    </row>
    <row r="447" spans="1:19" ht="15">
      <c r="A447" s="1">
        <v>25</v>
      </c>
      <c r="B447" s="1" t="s">
        <v>49</v>
      </c>
      <c r="C447" s="1" t="s">
        <v>33</v>
      </c>
      <c r="D447" s="1">
        <v>2025</v>
      </c>
      <c r="E447" s="1" t="s">
        <v>22</v>
      </c>
      <c r="F447" s="1">
        <v>6052890</v>
      </c>
      <c r="G447" s="1">
        <v>2983098</v>
      </c>
      <c r="H447" s="1">
        <v>3069792</v>
      </c>
      <c r="I447" s="1">
        <v>520156</v>
      </c>
      <c r="J447" s="1">
        <v>36121</v>
      </c>
      <c r="K447" s="1">
        <v>8.59</v>
      </c>
      <c r="L447" s="1">
        <v>20.239999999999998</v>
      </c>
      <c r="M447" s="1">
        <v>22.3</v>
      </c>
      <c r="N447" s="1">
        <v>6.2</v>
      </c>
      <c r="O447" s="1">
        <v>21.23</v>
      </c>
      <c r="P447" s="1">
        <v>39.299999999999997</v>
      </c>
      <c r="Q447" s="1">
        <v>6981.36</v>
      </c>
      <c r="R447" s="1">
        <v>80</v>
      </c>
      <c r="S447" s="1">
        <v>66.099999999999994</v>
      </c>
    </row>
    <row r="448" spans="1:19" ht="15">
      <c r="A448" s="1">
        <v>25</v>
      </c>
      <c r="B448" s="1" t="s">
        <v>49</v>
      </c>
      <c r="C448" s="1" t="s">
        <v>33</v>
      </c>
      <c r="D448" s="1">
        <v>2025</v>
      </c>
      <c r="E448" s="1" t="s">
        <v>23</v>
      </c>
      <c r="F448" s="1">
        <v>124202595</v>
      </c>
      <c r="G448" s="1">
        <v>59888910</v>
      </c>
      <c r="H448" s="1">
        <v>64313685</v>
      </c>
      <c r="I448" s="1">
        <v>12068961</v>
      </c>
      <c r="J448" s="1">
        <v>464670</v>
      </c>
      <c r="K448" s="1">
        <v>9.7200000000000006</v>
      </c>
      <c r="L448" s="1">
        <v>29.71</v>
      </c>
      <c r="M448" s="1">
        <v>17.350000000000001</v>
      </c>
      <c r="N448" s="1">
        <v>14.09</v>
      </c>
      <c r="O448" s="1">
        <v>20.84</v>
      </c>
      <c r="P448" s="1">
        <v>18.64</v>
      </c>
      <c r="Q448" s="1">
        <v>939.03</v>
      </c>
      <c r="R448" s="1">
        <v>76</v>
      </c>
      <c r="S448" s="1">
        <v>66.599999999999994</v>
      </c>
    </row>
    <row r="449" spans="1:19" ht="15">
      <c r="A449" s="1">
        <v>25</v>
      </c>
      <c r="B449" s="1" t="s">
        <v>49</v>
      </c>
      <c r="C449" s="1" t="s">
        <v>33</v>
      </c>
      <c r="D449" s="1">
        <v>2026</v>
      </c>
      <c r="E449" s="1" t="s">
        <v>21</v>
      </c>
      <c r="F449" s="1">
        <v>136395841</v>
      </c>
      <c r="G449" s="1">
        <v>66314014</v>
      </c>
      <c r="H449" s="1">
        <v>70081827</v>
      </c>
      <c r="I449" s="1">
        <v>7722167</v>
      </c>
      <c r="J449" s="1">
        <v>506468</v>
      </c>
      <c r="K449" s="1">
        <v>5.66</v>
      </c>
      <c r="L449" s="1">
        <v>21.22</v>
      </c>
      <c r="M449" s="1">
        <v>11.47</v>
      </c>
      <c r="N449" s="1">
        <v>7.85</v>
      </c>
      <c r="O449" s="1">
        <v>35.11</v>
      </c>
      <c r="P449" s="1">
        <v>28.68</v>
      </c>
      <c r="Q449" s="1">
        <v>11350.31</v>
      </c>
      <c r="R449" s="1">
        <v>73</v>
      </c>
      <c r="S449" s="1">
        <v>77.7</v>
      </c>
    </row>
    <row r="450" spans="1:19" ht="15">
      <c r="A450" s="1">
        <v>25</v>
      </c>
      <c r="B450" s="1" t="s">
        <v>49</v>
      </c>
      <c r="C450" s="1" t="s">
        <v>33</v>
      </c>
      <c r="D450" s="1">
        <v>2026</v>
      </c>
      <c r="E450" s="1" t="s">
        <v>22</v>
      </c>
      <c r="F450" s="1">
        <v>84419989</v>
      </c>
      <c r="G450" s="1">
        <v>43257871</v>
      </c>
      <c r="H450" s="1">
        <v>41162118</v>
      </c>
      <c r="I450" s="1">
        <v>4579672</v>
      </c>
      <c r="J450" s="1">
        <v>218025</v>
      </c>
      <c r="K450" s="1">
        <v>5.42</v>
      </c>
      <c r="L450" s="1">
        <v>26.25</v>
      </c>
      <c r="M450" s="1">
        <v>17.440000000000001</v>
      </c>
      <c r="N450" s="1">
        <v>9.4600000000000009</v>
      </c>
      <c r="O450" s="1">
        <v>32.450000000000003</v>
      </c>
      <c r="P450" s="1">
        <v>17.809999999999999</v>
      </c>
      <c r="Q450" s="1">
        <v>8524.35</v>
      </c>
      <c r="R450" s="1">
        <v>73</v>
      </c>
      <c r="S450" s="1">
        <v>69.099999999999994</v>
      </c>
    </row>
    <row r="451" spans="1:19" ht="15">
      <c r="A451" s="1">
        <v>25</v>
      </c>
      <c r="B451" s="1" t="s">
        <v>49</v>
      </c>
      <c r="C451" s="1" t="s">
        <v>33</v>
      </c>
      <c r="D451" s="1">
        <v>2026</v>
      </c>
      <c r="E451" s="1" t="s">
        <v>23</v>
      </c>
      <c r="F451" s="1">
        <v>30078897</v>
      </c>
      <c r="G451" s="1">
        <v>15025747</v>
      </c>
      <c r="H451" s="1">
        <v>15053150</v>
      </c>
      <c r="I451" s="1">
        <v>1550408</v>
      </c>
      <c r="J451" s="1">
        <v>104791</v>
      </c>
      <c r="K451" s="1">
        <v>5.15</v>
      </c>
      <c r="L451" s="1">
        <v>23.85</v>
      </c>
      <c r="M451" s="1">
        <v>33.74</v>
      </c>
      <c r="N451" s="1">
        <v>13.12</v>
      </c>
      <c r="O451" s="1">
        <v>31.33</v>
      </c>
      <c r="P451" s="1">
        <v>34.549999999999997</v>
      </c>
      <c r="Q451" s="1">
        <v>2743.56</v>
      </c>
      <c r="R451" s="1">
        <v>79</v>
      </c>
      <c r="S451" s="1">
        <v>80.900000000000006</v>
      </c>
    </row>
    <row r="452" spans="1:19" ht="15">
      <c r="A452" s="1">
        <v>26</v>
      </c>
      <c r="B452" s="1" t="s">
        <v>50</v>
      </c>
      <c r="C452" s="1" t="s">
        <v>33</v>
      </c>
      <c r="D452" s="1">
        <v>2021</v>
      </c>
      <c r="E452" s="1" t="s">
        <v>21</v>
      </c>
      <c r="F452" s="1">
        <v>125740307</v>
      </c>
      <c r="G452" s="1">
        <v>62842912</v>
      </c>
      <c r="H452" s="1">
        <v>62897395</v>
      </c>
      <c r="I452" s="1">
        <v>6543387</v>
      </c>
      <c r="J452" s="1">
        <v>331826</v>
      </c>
      <c r="K452" s="1">
        <v>5.2</v>
      </c>
      <c r="L452" s="1">
        <v>17.07</v>
      </c>
      <c r="M452" s="1">
        <v>26.55</v>
      </c>
      <c r="N452" s="1">
        <v>14.88</v>
      </c>
      <c r="O452" s="1">
        <v>26.27</v>
      </c>
      <c r="P452" s="1">
        <v>38.340000000000003</v>
      </c>
      <c r="Q452" s="1">
        <v>8368.4599999999991</v>
      </c>
      <c r="R452" s="1">
        <v>74</v>
      </c>
      <c r="S452" s="1">
        <v>63.7</v>
      </c>
    </row>
    <row r="453" spans="1:19" ht="15">
      <c r="A453" s="1">
        <v>26</v>
      </c>
      <c r="B453" s="1" t="s">
        <v>50</v>
      </c>
      <c r="C453" s="1" t="s">
        <v>33</v>
      </c>
      <c r="D453" s="1">
        <v>2021</v>
      </c>
      <c r="E453" s="1" t="s">
        <v>22</v>
      </c>
      <c r="F453" s="1">
        <v>31793780</v>
      </c>
      <c r="G453" s="1">
        <v>15965422</v>
      </c>
      <c r="H453" s="1">
        <v>15828358</v>
      </c>
      <c r="I453" s="1">
        <v>2024487</v>
      </c>
      <c r="J453" s="1">
        <v>74203</v>
      </c>
      <c r="K453" s="1">
        <v>6.37</v>
      </c>
      <c r="L453" s="1">
        <v>13.29</v>
      </c>
      <c r="M453" s="1">
        <v>31.7</v>
      </c>
      <c r="N453" s="1">
        <v>9.74</v>
      </c>
      <c r="O453" s="1">
        <v>31.32</v>
      </c>
      <c r="P453" s="1">
        <v>33.42</v>
      </c>
      <c r="Q453" s="1">
        <v>2898.73</v>
      </c>
      <c r="R453" s="1">
        <v>70</v>
      </c>
      <c r="S453" s="1">
        <v>65.7</v>
      </c>
    </row>
    <row r="454" spans="1:19" ht="15">
      <c r="A454" s="1">
        <v>26</v>
      </c>
      <c r="B454" s="1" t="s">
        <v>50</v>
      </c>
      <c r="C454" s="1" t="s">
        <v>33</v>
      </c>
      <c r="D454" s="1">
        <v>2021</v>
      </c>
      <c r="E454" s="1" t="s">
        <v>23</v>
      </c>
      <c r="F454" s="1">
        <v>155665585</v>
      </c>
      <c r="G454" s="1">
        <v>76642397</v>
      </c>
      <c r="H454" s="1">
        <v>79023188</v>
      </c>
      <c r="I454" s="1">
        <v>8959585</v>
      </c>
      <c r="J454" s="1">
        <v>630881</v>
      </c>
      <c r="K454" s="1">
        <v>5.76</v>
      </c>
      <c r="L454" s="1">
        <v>16.079999999999998</v>
      </c>
      <c r="M454" s="1">
        <v>13.11</v>
      </c>
      <c r="N454" s="1">
        <v>11.32</v>
      </c>
      <c r="O454" s="1">
        <v>25.18</v>
      </c>
      <c r="P454" s="1">
        <v>18.579999999999998</v>
      </c>
      <c r="Q454" s="1">
        <v>3430.74</v>
      </c>
      <c r="R454" s="1">
        <v>74</v>
      </c>
      <c r="S454" s="1">
        <v>66.7</v>
      </c>
    </row>
    <row r="455" spans="1:19" ht="15">
      <c r="A455" s="1">
        <v>26</v>
      </c>
      <c r="B455" s="1" t="s">
        <v>50</v>
      </c>
      <c r="C455" s="1" t="s">
        <v>33</v>
      </c>
      <c r="D455" s="1">
        <v>2022</v>
      </c>
      <c r="E455" s="1" t="s">
        <v>21</v>
      </c>
      <c r="F455" s="1">
        <v>126114067</v>
      </c>
      <c r="G455" s="1">
        <v>60955583</v>
      </c>
      <c r="H455" s="1">
        <v>65158484</v>
      </c>
      <c r="I455" s="1">
        <v>9424175</v>
      </c>
      <c r="J455" s="1">
        <v>420221</v>
      </c>
      <c r="K455" s="1">
        <v>7.47</v>
      </c>
      <c r="L455" s="1">
        <v>13.13</v>
      </c>
      <c r="M455" s="1">
        <v>22.7</v>
      </c>
      <c r="N455" s="1">
        <v>8.49</v>
      </c>
      <c r="O455" s="1">
        <v>31.54</v>
      </c>
      <c r="P455" s="1">
        <v>33.78</v>
      </c>
      <c r="Q455" s="1">
        <v>5899.18</v>
      </c>
      <c r="R455" s="1">
        <v>64</v>
      </c>
      <c r="S455" s="1">
        <v>61</v>
      </c>
    </row>
    <row r="456" spans="1:19" ht="15">
      <c r="A456" s="1">
        <v>26</v>
      </c>
      <c r="B456" s="1" t="s">
        <v>50</v>
      </c>
      <c r="C456" s="1" t="s">
        <v>33</v>
      </c>
      <c r="D456" s="1">
        <v>2022</v>
      </c>
      <c r="E456" s="1" t="s">
        <v>22</v>
      </c>
      <c r="F456" s="1">
        <v>172474284</v>
      </c>
      <c r="G456" s="1">
        <v>87847048</v>
      </c>
      <c r="H456" s="1">
        <v>84627236</v>
      </c>
      <c r="I456" s="1">
        <v>9398712</v>
      </c>
      <c r="J456" s="1">
        <v>333119</v>
      </c>
      <c r="K456" s="1">
        <v>5.45</v>
      </c>
      <c r="L456" s="1">
        <v>22.74</v>
      </c>
      <c r="M456" s="1">
        <v>31.15</v>
      </c>
      <c r="N456" s="1">
        <v>7.58</v>
      </c>
      <c r="O456" s="1">
        <v>30.12</v>
      </c>
      <c r="P456" s="1">
        <v>34.17</v>
      </c>
      <c r="Q456" s="1">
        <v>2627.86</v>
      </c>
      <c r="R456" s="1">
        <v>57</v>
      </c>
      <c r="S456" s="1">
        <v>73.599999999999994</v>
      </c>
    </row>
    <row r="457" spans="1:19" ht="15">
      <c r="A457" s="1">
        <v>26</v>
      </c>
      <c r="B457" s="1" t="s">
        <v>50</v>
      </c>
      <c r="C457" s="1" t="s">
        <v>33</v>
      </c>
      <c r="D457" s="1">
        <v>2022</v>
      </c>
      <c r="E457" s="1" t="s">
        <v>23</v>
      </c>
      <c r="F457" s="1">
        <v>83046606</v>
      </c>
      <c r="G457" s="1">
        <v>42477989</v>
      </c>
      <c r="H457" s="1">
        <v>40568617</v>
      </c>
      <c r="I457" s="1">
        <v>6533404</v>
      </c>
      <c r="J457" s="1">
        <v>243733</v>
      </c>
      <c r="K457" s="1">
        <v>7.87</v>
      </c>
      <c r="L457" s="1">
        <v>26.61</v>
      </c>
      <c r="M457" s="1">
        <v>30.28</v>
      </c>
      <c r="N457" s="1">
        <v>12.23</v>
      </c>
      <c r="O457" s="1">
        <v>34.659999999999997</v>
      </c>
      <c r="P457" s="1">
        <v>26.39</v>
      </c>
      <c r="Q457" s="1">
        <v>7977.72</v>
      </c>
      <c r="R457" s="1">
        <v>49</v>
      </c>
      <c r="S457" s="1">
        <v>82.4</v>
      </c>
    </row>
    <row r="458" spans="1:19" ht="15">
      <c r="A458" s="1">
        <v>26</v>
      </c>
      <c r="B458" s="1" t="s">
        <v>50</v>
      </c>
      <c r="C458" s="1" t="s">
        <v>33</v>
      </c>
      <c r="D458" s="1">
        <v>2023</v>
      </c>
      <c r="E458" s="1" t="s">
        <v>21</v>
      </c>
      <c r="F458" s="1">
        <v>199747980</v>
      </c>
      <c r="G458" s="1">
        <v>97368738</v>
      </c>
      <c r="H458" s="1">
        <v>102379242</v>
      </c>
      <c r="I458" s="1">
        <v>16353472</v>
      </c>
      <c r="J458" s="1">
        <v>1199966</v>
      </c>
      <c r="K458" s="1">
        <v>8.19</v>
      </c>
      <c r="L458" s="1">
        <v>11.2</v>
      </c>
      <c r="M458" s="1">
        <v>24.37</v>
      </c>
      <c r="N458" s="1">
        <v>6.15</v>
      </c>
      <c r="O458" s="1">
        <v>23.67</v>
      </c>
      <c r="P458" s="1">
        <v>23.98</v>
      </c>
      <c r="Q458" s="1">
        <v>6901.7</v>
      </c>
      <c r="R458" s="1">
        <v>53</v>
      </c>
      <c r="S458" s="1">
        <v>71.599999999999994</v>
      </c>
    </row>
    <row r="459" spans="1:19" ht="15">
      <c r="A459" s="1">
        <v>26</v>
      </c>
      <c r="B459" s="1" t="s">
        <v>50</v>
      </c>
      <c r="C459" s="1" t="s">
        <v>33</v>
      </c>
      <c r="D459" s="1">
        <v>2023</v>
      </c>
      <c r="E459" s="1" t="s">
        <v>22</v>
      </c>
      <c r="F459" s="1">
        <v>108750864</v>
      </c>
      <c r="G459" s="1">
        <v>56364530</v>
      </c>
      <c r="H459" s="1">
        <v>52386334</v>
      </c>
      <c r="I459" s="1">
        <v>8207107</v>
      </c>
      <c r="J459" s="1">
        <v>547043</v>
      </c>
      <c r="K459" s="1">
        <v>7.55</v>
      </c>
      <c r="L459" s="1">
        <v>16.690000000000001</v>
      </c>
      <c r="M459" s="1">
        <v>28.61</v>
      </c>
      <c r="N459" s="1">
        <v>12.48</v>
      </c>
      <c r="O459" s="1">
        <v>33.39</v>
      </c>
      <c r="P459" s="1">
        <v>33.86</v>
      </c>
      <c r="Q459" s="1">
        <v>7082.1</v>
      </c>
      <c r="R459" s="1">
        <v>79</v>
      </c>
      <c r="S459" s="1">
        <v>79.099999999999994</v>
      </c>
    </row>
    <row r="460" spans="1:19" ht="15">
      <c r="A460" s="1">
        <v>26</v>
      </c>
      <c r="B460" s="1" t="s">
        <v>50</v>
      </c>
      <c r="C460" s="1" t="s">
        <v>33</v>
      </c>
      <c r="D460" s="1">
        <v>2023</v>
      </c>
      <c r="E460" s="1" t="s">
        <v>23</v>
      </c>
      <c r="F460" s="1">
        <v>171272275</v>
      </c>
      <c r="G460" s="1">
        <v>82871047</v>
      </c>
      <c r="H460" s="1">
        <v>88401228</v>
      </c>
      <c r="I460" s="1">
        <v>12403159</v>
      </c>
      <c r="J460" s="1">
        <v>446930</v>
      </c>
      <c r="K460" s="1">
        <v>7.24</v>
      </c>
      <c r="L460" s="1">
        <v>29.01</v>
      </c>
      <c r="M460" s="1">
        <v>20.87</v>
      </c>
      <c r="N460" s="1">
        <v>7.2</v>
      </c>
      <c r="O460" s="1">
        <v>36.75</v>
      </c>
      <c r="P460" s="1">
        <v>17.18</v>
      </c>
      <c r="Q460" s="1">
        <v>2272</v>
      </c>
      <c r="R460" s="1">
        <v>79</v>
      </c>
      <c r="S460" s="1">
        <v>71.7</v>
      </c>
    </row>
    <row r="461" spans="1:19" ht="15">
      <c r="A461" s="1">
        <v>26</v>
      </c>
      <c r="B461" s="1" t="s">
        <v>50</v>
      </c>
      <c r="C461" s="1" t="s">
        <v>33</v>
      </c>
      <c r="D461" s="1">
        <v>2024</v>
      </c>
      <c r="E461" s="1" t="s">
        <v>21</v>
      </c>
      <c r="F461" s="1">
        <v>136087157</v>
      </c>
      <c r="G461" s="1">
        <v>66776850</v>
      </c>
      <c r="H461" s="1">
        <v>69310307</v>
      </c>
      <c r="I461" s="1">
        <v>10725571</v>
      </c>
      <c r="J461" s="1">
        <v>432982</v>
      </c>
      <c r="K461" s="1">
        <v>7.88</v>
      </c>
      <c r="L461" s="1">
        <v>16.18</v>
      </c>
      <c r="M461" s="1">
        <v>25.28</v>
      </c>
      <c r="N461" s="1">
        <v>13.83</v>
      </c>
      <c r="O461" s="1">
        <v>34.06</v>
      </c>
      <c r="P461" s="1">
        <v>31.08</v>
      </c>
      <c r="Q461" s="1">
        <v>9086.44</v>
      </c>
      <c r="R461" s="1">
        <v>58</v>
      </c>
      <c r="S461" s="1">
        <v>82.6</v>
      </c>
    </row>
    <row r="462" spans="1:19" ht="15">
      <c r="A462" s="1">
        <v>26</v>
      </c>
      <c r="B462" s="1" t="s">
        <v>50</v>
      </c>
      <c r="C462" s="1" t="s">
        <v>33</v>
      </c>
      <c r="D462" s="1">
        <v>2024</v>
      </c>
      <c r="E462" s="1" t="s">
        <v>22</v>
      </c>
      <c r="F462" s="1">
        <v>76296780</v>
      </c>
      <c r="G462" s="1">
        <v>38487941</v>
      </c>
      <c r="H462" s="1">
        <v>37808839</v>
      </c>
      <c r="I462" s="1">
        <v>4797393</v>
      </c>
      <c r="J462" s="1">
        <v>152548</v>
      </c>
      <c r="K462" s="1">
        <v>6.29</v>
      </c>
      <c r="L462" s="1">
        <v>12.24</v>
      </c>
      <c r="M462" s="1">
        <v>14.96</v>
      </c>
      <c r="N462" s="1">
        <v>12.34</v>
      </c>
      <c r="O462" s="1">
        <v>36.29</v>
      </c>
      <c r="P462" s="1">
        <v>38.14</v>
      </c>
      <c r="Q462" s="1">
        <v>7893.47</v>
      </c>
      <c r="R462" s="1">
        <v>75</v>
      </c>
      <c r="S462" s="1">
        <v>79.3</v>
      </c>
    </row>
    <row r="463" spans="1:19" ht="15">
      <c r="A463" s="1">
        <v>26</v>
      </c>
      <c r="B463" s="1" t="s">
        <v>50</v>
      </c>
      <c r="C463" s="1" t="s">
        <v>33</v>
      </c>
      <c r="D463" s="1">
        <v>2024</v>
      </c>
      <c r="E463" s="1" t="s">
        <v>23</v>
      </c>
      <c r="F463" s="1">
        <v>60158120</v>
      </c>
      <c r="G463" s="1">
        <v>31170256</v>
      </c>
      <c r="H463" s="1">
        <v>28987864</v>
      </c>
      <c r="I463" s="1">
        <v>5104127</v>
      </c>
      <c r="J463" s="1">
        <v>171590</v>
      </c>
      <c r="K463" s="1">
        <v>8.48</v>
      </c>
      <c r="L463" s="1">
        <v>18.22</v>
      </c>
      <c r="M463" s="1">
        <v>16.22</v>
      </c>
      <c r="N463" s="1">
        <v>14.39</v>
      </c>
      <c r="O463" s="1">
        <v>36.22</v>
      </c>
      <c r="P463" s="1">
        <v>16.75</v>
      </c>
      <c r="Q463" s="1">
        <v>7508.47</v>
      </c>
      <c r="R463" s="1">
        <v>49</v>
      </c>
      <c r="S463" s="1">
        <v>72</v>
      </c>
    </row>
    <row r="464" spans="1:19" ht="15">
      <c r="A464" s="1">
        <v>26</v>
      </c>
      <c r="B464" s="1" t="s">
        <v>50</v>
      </c>
      <c r="C464" s="1" t="s">
        <v>33</v>
      </c>
      <c r="D464" s="1">
        <v>2025</v>
      </c>
      <c r="E464" s="1" t="s">
        <v>21</v>
      </c>
      <c r="F464" s="1">
        <v>197044369</v>
      </c>
      <c r="G464" s="1">
        <v>101591673</v>
      </c>
      <c r="H464" s="1">
        <v>95452696</v>
      </c>
      <c r="I464" s="1">
        <v>17855477</v>
      </c>
      <c r="J464" s="1">
        <v>956640</v>
      </c>
      <c r="K464" s="1">
        <v>9.06</v>
      </c>
      <c r="L464" s="1">
        <v>18.84</v>
      </c>
      <c r="M464" s="1">
        <v>14.04</v>
      </c>
      <c r="N464" s="1">
        <v>8.5399999999999991</v>
      </c>
      <c r="O464" s="1">
        <v>23.83</v>
      </c>
      <c r="P464" s="1">
        <v>36.14</v>
      </c>
      <c r="Q464" s="1">
        <v>7439.14</v>
      </c>
      <c r="R464" s="1">
        <v>65</v>
      </c>
      <c r="S464" s="1">
        <v>69.400000000000006</v>
      </c>
    </row>
    <row r="465" spans="1:19" ht="15">
      <c r="A465" s="1">
        <v>26</v>
      </c>
      <c r="B465" s="1" t="s">
        <v>50</v>
      </c>
      <c r="C465" s="1" t="s">
        <v>33</v>
      </c>
      <c r="D465" s="1">
        <v>2025</v>
      </c>
      <c r="E465" s="1" t="s">
        <v>22</v>
      </c>
      <c r="F465" s="1">
        <v>187312211</v>
      </c>
      <c r="G465" s="1">
        <v>95167410</v>
      </c>
      <c r="H465" s="1">
        <v>92144801</v>
      </c>
      <c r="I465" s="1">
        <v>17168570</v>
      </c>
      <c r="J465" s="1">
        <v>526111</v>
      </c>
      <c r="K465" s="1">
        <v>9.17</v>
      </c>
      <c r="L465" s="1">
        <v>16.46</v>
      </c>
      <c r="M465" s="1">
        <v>20.91</v>
      </c>
      <c r="N465" s="1">
        <v>14.29</v>
      </c>
      <c r="O465" s="1">
        <v>37.409999999999997</v>
      </c>
      <c r="P465" s="1">
        <v>17.11</v>
      </c>
      <c r="Q465" s="1">
        <v>11487.78</v>
      </c>
      <c r="R465" s="1">
        <v>41</v>
      </c>
      <c r="S465" s="1">
        <v>61.7</v>
      </c>
    </row>
    <row r="466" spans="1:19" ht="15">
      <c r="A466" s="1">
        <v>26</v>
      </c>
      <c r="B466" s="1" t="s">
        <v>50</v>
      </c>
      <c r="C466" s="1" t="s">
        <v>33</v>
      </c>
      <c r="D466" s="1">
        <v>2025</v>
      </c>
      <c r="E466" s="1" t="s">
        <v>23</v>
      </c>
      <c r="F466" s="1">
        <v>125753857</v>
      </c>
      <c r="G466" s="1">
        <v>63833272</v>
      </c>
      <c r="H466" s="1">
        <v>61920585</v>
      </c>
      <c r="I466" s="1">
        <v>11665950</v>
      </c>
      <c r="J466" s="1">
        <v>500968</v>
      </c>
      <c r="K466" s="1">
        <v>9.2799999999999994</v>
      </c>
      <c r="L466" s="1">
        <v>16.45</v>
      </c>
      <c r="M466" s="1">
        <v>16.940000000000001</v>
      </c>
      <c r="N466" s="1">
        <v>12.03</v>
      </c>
      <c r="O466" s="1">
        <v>34.369999999999997</v>
      </c>
      <c r="P466" s="1">
        <v>34.36</v>
      </c>
      <c r="Q466" s="1">
        <v>11091.97</v>
      </c>
      <c r="R466" s="1">
        <v>48</v>
      </c>
      <c r="S466" s="1">
        <v>76.3</v>
      </c>
    </row>
    <row r="467" spans="1:19" ht="15">
      <c r="A467" s="1">
        <v>26</v>
      </c>
      <c r="B467" s="1" t="s">
        <v>50</v>
      </c>
      <c r="C467" s="1" t="s">
        <v>33</v>
      </c>
      <c r="D467" s="1">
        <v>2026</v>
      </c>
      <c r="E467" s="1" t="s">
        <v>21</v>
      </c>
      <c r="F467" s="1">
        <v>37183821</v>
      </c>
      <c r="G467" s="1">
        <v>18808622</v>
      </c>
      <c r="H467" s="1">
        <v>18375199</v>
      </c>
      <c r="I467" s="1">
        <v>2347453</v>
      </c>
      <c r="J467" s="1">
        <v>184898</v>
      </c>
      <c r="K467" s="1">
        <v>6.31</v>
      </c>
      <c r="L467" s="1">
        <v>19.54</v>
      </c>
      <c r="M467" s="1">
        <v>33.72</v>
      </c>
      <c r="N467" s="1">
        <v>14.72</v>
      </c>
      <c r="O467" s="1">
        <v>38</v>
      </c>
      <c r="P467" s="1">
        <v>26.49</v>
      </c>
      <c r="Q467" s="1">
        <v>3717.43</v>
      </c>
      <c r="R467" s="1">
        <v>74</v>
      </c>
      <c r="S467" s="1">
        <v>70.3</v>
      </c>
    </row>
    <row r="468" spans="1:19" ht="15">
      <c r="A468" s="1">
        <v>26</v>
      </c>
      <c r="B468" s="1" t="s">
        <v>50</v>
      </c>
      <c r="C468" s="1" t="s">
        <v>33</v>
      </c>
      <c r="D468" s="1">
        <v>2026</v>
      </c>
      <c r="E468" s="1" t="s">
        <v>22</v>
      </c>
      <c r="F468" s="1">
        <v>117566625</v>
      </c>
      <c r="G468" s="1">
        <v>58633775</v>
      </c>
      <c r="H468" s="1">
        <v>58932850</v>
      </c>
      <c r="I468" s="1">
        <v>7313122</v>
      </c>
      <c r="J468" s="1">
        <v>527368</v>
      </c>
      <c r="K468" s="1">
        <v>6.22</v>
      </c>
      <c r="L468" s="1">
        <v>24.61</v>
      </c>
      <c r="M468" s="1">
        <v>31.63</v>
      </c>
      <c r="N468" s="1">
        <v>10.32</v>
      </c>
      <c r="O468" s="1">
        <v>21.85</v>
      </c>
      <c r="P468" s="1">
        <v>36.56</v>
      </c>
      <c r="Q468" s="1">
        <v>1296.3900000000001</v>
      </c>
      <c r="R468" s="1">
        <v>59</v>
      </c>
      <c r="S468" s="1">
        <v>81.7</v>
      </c>
    </row>
    <row r="469" spans="1:19" ht="15">
      <c r="A469" s="1">
        <v>26</v>
      </c>
      <c r="B469" s="1" t="s">
        <v>50</v>
      </c>
      <c r="C469" s="1" t="s">
        <v>33</v>
      </c>
      <c r="D469" s="1">
        <v>2026</v>
      </c>
      <c r="E469" s="1" t="s">
        <v>23</v>
      </c>
      <c r="F469" s="1">
        <v>31748685</v>
      </c>
      <c r="G469" s="1">
        <v>15952450</v>
      </c>
      <c r="H469" s="1">
        <v>15796235</v>
      </c>
      <c r="I469" s="1">
        <v>2658948</v>
      </c>
      <c r="J469" s="1">
        <v>188917</v>
      </c>
      <c r="K469" s="1">
        <v>8.3699999999999992</v>
      </c>
      <c r="L469" s="1">
        <v>23.29</v>
      </c>
      <c r="M469" s="1">
        <v>21.1</v>
      </c>
      <c r="N469" s="1">
        <v>10.43</v>
      </c>
      <c r="O469" s="1">
        <v>27.97</v>
      </c>
      <c r="P469" s="1">
        <v>29.43</v>
      </c>
      <c r="Q469" s="1">
        <v>525.38</v>
      </c>
      <c r="R469" s="1">
        <v>79</v>
      </c>
      <c r="S469" s="1">
        <v>60.5</v>
      </c>
    </row>
    <row r="470" spans="1:19" ht="15">
      <c r="A470" s="1">
        <v>27</v>
      </c>
      <c r="B470" s="1" t="s">
        <v>51</v>
      </c>
      <c r="C470" s="1" t="s">
        <v>33</v>
      </c>
      <c r="D470" s="1">
        <v>2021</v>
      </c>
      <c r="E470" s="1" t="s">
        <v>21</v>
      </c>
      <c r="F470" s="1">
        <v>102144953</v>
      </c>
      <c r="G470" s="1">
        <v>49477674</v>
      </c>
      <c r="H470" s="1">
        <v>52667279</v>
      </c>
      <c r="I470" s="1">
        <v>9429860</v>
      </c>
      <c r="J470" s="1">
        <v>593791</v>
      </c>
      <c r="K470" s="1">
        <v>9.23</v>
      </c>
      <c r="L470" s="1">
        <v>13.64</v>
      </c>
      <c r="M470" s="1">
        <v>28.68</v>
      </c>
      <c r="N470" s="1">
        <v>9.76</v>
      </c>
      <c r="O470" s="1">
        <v>22.7</v>
      </c>
      <c r="P470" s="1">
        <v>38.24</v>
      </c>
      <c r="Q470" s="1">
        <v>1797.26</v>
      </c>
      <c r="R470" s="1">
        <v>63</v>
      </c>
      <c r="S470" s="1">
        <v>65.900000000000006</v>
      </c>
    </row>
    <row r="471" spans="1:19" ht="15">
      <c r="A471" s="1">
        <v>27</v>
      </c>
      <c r="B471" s="1" t="s">
        <v>51</v>
      </c>
      <c r="C471" s="1" t="s">
        <v>33</v>
      </c>
      <c r="D471" s="1">
        <v>2021</v>
      </c>
      <c r="E471" s="1" t="s">
        <v>22</v>
      </c>
      <c r="F471" s="1">
        <v>4928828</v>
      </c>
      <c r="G471" s="1">
        <v>2382962</v>
      </c>
      <c r="H471" s="1">
        <v>2545866</v>
      </c>
      <c r="I471" s="1">
        <v>250562</v>
      </c>
      <c r="J471" s="1">
        <v>15700</v>
      </c>
      <c r="K471" s="1">
        <v>5.08</v>
      </c>
      <c r="L471" s="1">
        <v>12.64</v>
      </c>
      <c r="M471" s="1">
        <v>24.1</v>
      </c>
      <c r="N471" s="1">
        <v>7.43</v>
      </c>
      <c r="O471" s="1">
        <v>38.81</v>
      </c>
      <c r="P471" s="1">
        <v>20.399999999999999</v>
      </c>
      <c r="Q471" s="1">
        <v>6487.53</v>
      </c>
      <c r="R471" s="1">
        <v>83</v>
      </c>
      <c r="S471" s="1">
        <v>67.2</v>
      </c>
    </row>
    <row r="472" spans="1:19" ht="15">
      <c r="A472" s="1">
        <v>27</v>
      </c>
      <c r="B472" s="1" t="s">
        <v>51</v>
      </c>
      <c r="C472" s="1" t="s">
        <v>33</v>
      </c>
      <c r="D472" s="1">
        <v>2021</v>
      </c>
      <c r="E472" s="1" t="s">
        <v>23</v>
      </c>
      <c r="F472" s="1">
        <v>147262464</v>
      </c>
      <c r="G472" s="1">
        <v>75585342</v>
      </c>
      <c r="H472" s="1">
        <v>71677122</v>
      </c>
      <c r="I472" s="1">
        <v>9674988</v>
      </c>
      <c r="J472" s="1">
        <v>477876</v>
      </c>
      <c r="K472" s="1">
        <v>6.57</v>
      </c>
      <c r="L472" s="1">
        <v>18.61</v>
      </c>
      <c r="M472" s="1">
        <v>20.47</v>
      </c>
      <c r="N472" s="1">
        <v>11.08</v>
      </c>
      <c r="O472" s="1">
        <v>24.52</v>
      </c>
      <c r="P472" s="1">
        <v>23.23</v>
      </c>
      <c r="Q472" s="1">
        <v>3133.18</v>
      </c>
      <c r="R472" s="1">
        <v>47</v>
      </c>
      <c r="S472" s="1">
        <v>77.5</v>
      </c>
    </row>
    <row r="473" spans="1:19" ht="15">
      <c r="A473" s="1">
        <v>27</v>
      </c>
      <c r="B473" s="1" t="s">
        <v>51</v>
      </c>
      <c r="C473" s="1" t="s">
        <v>33</v>
      </c>
      <c r="D473" s="1">
        <v>2022</v>
      </c>
      <c r="E473" s="1" t="s">
        <v>21</v>
      </c>
      <c r="F473" s="1">
        <v>56112104</v>
      </c>
      <c r="G473" s="1">
        <v>28346189</v>
      </c>
      <c r="H473" s="1">
        <v>27765915</v>
      </c>
      <c r="I473" s="1">
        <v>5506811</v>
      </c>
      <c r="J473" s="1">
        <v>426813</v>
      </c>
      <c r="K473" s="1">
        <v>9.81</v>
      </c>
      <c r="L473" s="1">
        <v>14.1</v>
      </c>
      <c r="M473" s="1">
        <v>15.25</v>
      </c>
      <c r="N473" s="1">
        <v>14.08</v>
      </c>
      <c r="O473" s="1">
        <v>22.78</v>
      </c>
      <c r="P473" s="1">
        <v>34.03</v>
      </c>
      <c r="Q473" s="1">
        <v>2705.24</v>
      </c>
      <c r="R473" s="1">
        <v>49</v>
      </c>
      <c r="S473" s="1">
        <v>70.099999999999994</v>
      </c>
    </row>
    <row r="474" spans="1:19" ht="15">
      <c r="A474" s="1">
        <v>27</v>
      </c>
      <c r="B474" s="1" t="s">
        <v>51</v>
      </c>
      <c r="C474" s="1" t="s">
        <v>33</v>
      </c>
      <c r="D474" s="1">
        <v>2022</v>
      </c>
      <c r="E474" s="1" t="s">
        <v>22</v>
      </c>
      <c r="F474" s="1">
        <v>29464296</v>
      </c>
      <c r="G474" s="1">
        <v>14949075</v>
      </c>
      <c r="H474" s="1">
        <v>14515221</v>
      </c>
      <c r="I474" s="1">
        <v>2716856</v>
      </c>
      <c r="J474" s="1">
        <v>109781</v>
      </c>
      <c r="K474" s="1">
        <v>9.2200000000000006</v>
      </c>
      <c r="L474" s="1">
        <v>11.99</v>
      </c>
      <c r="M474" s="1">
        <v>29.82</v>
      </c>
      <c r="N474" s="1">
        <v>9.51</v>
      </c>
      <c r="O474" s="1">
        <v>32.19</v>
      </c>
      <c r="P474" s="1">
        <v>29.61</v>
      </c>
      <c r="Q474" s="1">
        <v>9249.4</v>
      </c>
      <c r="R474" s="1">
        <v>57</v>
      </c>
      <c r="S474" s="1">
        <v>74.900000000000006</v>
      </c>
    </row>
    <row r="475" spans="1:19" ht="15">
      <c r="A475" s="1">
        <v>27</v>
      </c>
      <c r="B475" s="1" t="s">
        <v>51</v>
      </c>
      <c r="C475" s="1" t="s">
        <v>33</v>
      </c>
      <c r="D475" s="1">
        <v>2022</v>
      </c>
      <c r="E475" s="1" t="s">
        <v>23</v>
      </c>
      <c r="F475" s="1">
        <v>197922223</v>
      </c>
      <c r="G475" s="1">
        <v>97894006</v>
      </c>
      <c r="H475" s="1">
        <v>100028217</v>
      </c>
      <c r="I475" s="1">
        <v>11626840</v>
      </c>
      <c r="J475" s="1">
        <v>408612</v>
      </c>
      <c r="K475" s="1">
        <v>5.87</v>
      </c>
      <c r="L475" s="1">
        <v>23.83</v>
      </c>
      <c r="M475" s="1">
        <v>16.38</v>
      </c>
      <c r="N475" s="1">
        <v>7.78</v>
      </c>
      <c r="O475" s="1">
        <v>28.87</v>
      </c>
      <c r="P475" s="1">
        <v>28.19</v>
      </c>
      <c r="Q475" s="1">
        <v>5285.7</v>
      </c>
      <c r="R475" s="1">
        <v>74</v>
      </c>
      <c r="S475" s="1">
        <v>66.900000000000006</v>
      </c>
    </row>
    <row r="476" spans="1:19" ht="15">
      <c r="A476" s="1">
        <v>27</v>
      </c>
      <c r="B476" s="1" t="s">
        <v>51</v>
      </c>
      <c r="C476" s="1" t="s">
        <v>33</v>
      </c>
      <c r="D476" s="1">
        <v>2023</v>
      </c>
      <c r="E476" s="1" t="s">
        <v>21</v>
      </c>
      <c r="F476" s="1">
        <v>191185165</v>
      </c>
      <c r="G476" s="1">
        <v>96372760</v>
      </c>
      <c r="H476" s="1">
        <v>94812405</v>
      </c>
      <c r="I476" s="1">
        <v>9714552</v>
      </c>
      <c r="J476" s="1">
        <v>322412</v>
      </c>
      <c r="K476" s="1">
        <v>5.08</v>
      </c>
      <c r="L476" s="1">
        <v>13.98</v>
      </c>
      <c r="M476" s="1">
        <v>17.03</v>
      </c>
      <c r="N476" s="1">
        <v>9.66</v>
      </c>
      <c r="O476" s="1">
        <v>31.48</v>
      </c>
      <c r="P476" s="1">
        <v>19.149999999999999</v>
      </c>
      <c r="Q476" s="1">
        <v>7154.47</v>
      </c>
      <c r="R476" s="1">
        <v>58</v>
      </c>
      <c r="S476" s="1">
        <v>69</v>
      </c>
    </row>
    <row r="477" spans="1:19" ht="15">
      <c r="A477" s="1">
        <v>27</v>
      </c>
      <c r="B477" s="1" t="s">
        <v>51</v>
      </c>
      <c r="C477" s="1" t="s">
        <v>33</v>
      </c>
      <c r="D477" s="1">
        <v>2023</v>
      </c>
      <c r="E477" s="1" t="s">
        <v>22</v>
      </c>
      <c r="F477" s="1">
        <v>17282784</v>
      </c>
      <c r="G477" s="1">
        <v>8847469</v>
      </c>
      <c r="H477" s="1">
        <v>8435315</v>
      </c>
      <c r="I477" s="1">
        <v>1274598</v>
      </c>
      <c r="J477" s="1">
        <v>80686</v>
      </c>
      <c r="K477" s="1">
        <v>7.37</v>
      </c>
      <c r="L477" s="1">
        <v>14.47</v>
      </c>
      <c r="M477" s="1">
        <v>27.69</v>
      </c>
      <c r="N477" s="1">
        <v>14.84</v>
      </c>
      <c r="O477" s="1">
        <v>33.020000000000003</v>
      </c>
      <c r="P477" s="1">
        <v>39.51</v>
      </c>
      <c r="Q477" s="1">
        <v>10089.56</v>
      </c>
      <c r="R477" s="1">
        <v>62</v>
      </c>
      <c r="S477" s="1">
        <v>71</v>
      </c>
    </row>
    <row r="478" spans="1:19" ht="15">
      <c r="A478" s="1">
        <v>27</v>
      </c>
      <c r="B478" s="1" t="s">
        <v>51</v>
      </c>
      <c r="C478" s="1" t="s">
        <v>33</v>
      </c>
      <c r="D478" s="1">
        <v>2023</v>
      </c>
      <c r="E478" s="1" t="s">
        <v>23</v>
      </c>
      <c r="F478" s="1">
        <v>153874524</v>
      </c>
      <c r="G478" s="1">
        <v>77393200</v>
      </c>
      <c r="H478" s="1">
        <v>76481324</v>
      </c>
      <c r="I478" s="1">
        <v>9595169</v>
      </c>
      <c r="J478" s="1">
        <v>707432</v>
      </c>
      <c r="K478" s="1">
        <v>6.24</v>
      </c>
      <c r="L478" s="1">
        <v>10.27</v>
      </c>
      <c r="M478" s="1">
        <v>29.94</v>
      </c>
      <c r="N478" s="1">
        <v>14.4</v>
      </c>
      <c r="O478" s="1">
        <v>26.64</v>
      </c>
      <c r="P478" s="1">
        <v>35</v>
      </c>
      <c r="Q478" s="1">
        <v>5436.69</v>
      </c>
      <c r="R478" s="1">
        <v>74</v>
      </c>
      <c r="S478" s="1">
        <v>74.5</v>
      </c>
    </row>
    <row r="479" spans="1:19" ht="15">
      <c r="A479" s="1">
        <v>27</v>
      </c>
      <c r="B479" s="1" t="s">
        <v>51</v>
      </c>
      <c r="C479" s="1" t="s">
        <v>33</v>
      </c>
      <c r="D479" s="1">
        <v>2024</v>
      </c>
      <c r="E479" s="1" t="s">
        <v>21</v>
      </c>
      <c r="F479" s="1">
        <v>171532166</v>
      </c>
      <c r="G479" s="1">
        <v>82718067</v>
      </c>
      <c r="H479" s="1">
        <v>88814099</v>
      </c>
      <c r="I479" s="1">
        <v>11798531</v>
      </c>
      <c r="J479" s="1">
        <v>365307</v>
      </c>
      <c r="K479" s="1">
        <v>6.88</v>
      </c>
      <c r="L479" s="1">
        <v>24.99</v>
      </c>
      <c r="M479" s="1">
        <v>31.77</v>
      </c>
      <c r="N479" s="1">
        <v>14.96</v>
      </c>
      <c r="O479" s="1">
        <v>30.53</v>
      </c>
      <c r="P479" s="1">
        <v>24.78</v>
      </c>
      <c r="Q479" s="1">
        <v>6532.45</v>
      </c>
      <c r="R479" s="1">
        <v>55</v>
      </c>
      <c r="S479" s="1">
        <v>66.7</v>
      </c>
    </row>
    <row r="480" spans="1:19" ht="15">
      <c r="A480" s="1">
        <v>27</v>
      </c>
      <c r="B480" s="1" t="s">
        <v>51</v>
      </c>
      <c r="C480" s="1" t="s">
        <v>33</v>
      </c>
      <c r="D480" s="1">
        <v>2024</v>
      </c>
      <c r="E480" s="1" t="s">
        <v>22</v>
      </c>
      <c r="F480" s="1">
        <v>89255813</v>
      </c>
      <c r="G480" s="1">
        <v>46092624</v>
      </c>
      <c r="H480" s="1">
        <v>43163189</v>
      </c>
      <c r="I480" s="1">
        <v>6221949</v>
      </c>
      <c r="J480" s="1">
        <v>465296</v>
      </c>
      <c r="K480" s="1">
        <v>6.97</v>
      </c>
      <c r="L480" s="1">
        <v>21.33</v>
      </c>
      <c r="M480" s="1">
        <v>31.17</v>
      </c>
      <c r="N480" s="1">
        <v>11.66</v>
      </c>
      <c r="O480" s="1">
        <v>29.38</v>
      </c>
      <c r="P480" s="1">
        <v>32.909999999999997</v>
      </c>
      <c r="Q480" s="1">
        <v>8842.85</v>
      </c>
      <c r="R480" s="1">
        <v>41</v>
      </c>
      <c r="S480" s="1">
        <v>70.599999999999994</v>
      </c>
    </row>
    <row r="481" spans="1:19" ht="15">
      <c r="A481" s="1">
        <v>27</v>
      </c>
      <c r="B481" s="1" t="s">
        <v>51</v>
      </c>
      <c r="C481" s="1" t="s">
        <v>33</v>
      </c>
      <c r="D481" s="1">
        <v>2024</v>
      </c>
      <c r="E481" s="1" t="s">
        <v>23</v>
      </c>
      <c r="F481" s="1">
        <v>174005631</v>
      </c>
      <c r="G481" s="1">
        <v>87208990</v>
      </c>
      <c r="H481" s="1">
        <v>86796641</v>
      </c>
      <c r="I481" s="1">
        <v>15349366</v>
      </c>
      <c r="J481" s="1">
        <v>855547</v>
      </c>
      <c r="K481" s="1">
        <v>8.82</v>
      </c>
      <c r="L481" s="1">
        <v>22.41</v>
      </c>
      <c r="M481" s="1">
        <v>15.89</v>
      </c>
      <c r="N481" s="1">
        <v>14.76</v>
      </c>
      <c r="O481" s="1">
        <v>32.72</v>
      </c>
      <c r="P481" s="1">
        <v>31.26</v>
      </c>
      <c r="Q481" s="1">
        <v>9069.68</v>
      </c>
      <c r="R481" s="1">
        <v>73</v>
      </c>
      <c r="S481" s="1">
        <v>62.2</v>
      </c>
    </row>
    <row r="482" spans="1:19" ht="15">
      <c r="A482" s="1">
        <v>27</v>
      </c>
      <c r="B482" s="1" t="s">
        <v>51</v>
      </c>
      <c r="C482" s="1" t="s">
        <v>33</v>
      </c>
      <c r="D482" s="1">
        <v>2025</v>
      </c>
      <c r="E482" s="1" t="s">
        <v>21</v>
      </c>
      <c r="F482" s="1">
        <v>157755885</v>
      </c>
      <c r="G482" s="1">
        <v>78057984</v>
      </c>
      <c r="H482" s="1">
        <v>79697901</v>
      </c>
      <c r="I482" s="1">
        <v>12609744</v>
      </c>
      <c r="J482" s="1">
        <v>1005118</v>
      </c>
      <c r="K482" s="1">
        <v>7.99</v>
      </c>
      <c r="L482" s="1">
        <v>20.329999999999998</v>
      </c>
      <c r="M482" s="1">
        <v>10.06</v>
      </c>
      <c r="N482" s="1">
        <v>14.7</v>
      </c>
      <c r="O482" s="1">
        <v>31</v>
      </c>
      <c r="P482" s="1">
        <v>16.63</v>
      </c>
      <c r="Q482" s="1">
        <v>4466.29</v>
      </c>
      <c r="R482" s="1">
        <v>81</v>
      </c>
      <c r="S482" s="1">
        <v>67.599999999999994</v>
      </c>
    </row>
    <row r="483" spans="1:19" ht="15">
      <c r="A483" s="1">
        <v>27</v>
      </c>
      <c r="B483" s="1" t="s">
        <v>51</v>
      </c>
      <c r="C483" s="1" t="s">
        <v>33</v>
      </c>
      <c r="D483" s="1">
        <v>2025</v>
      </c>
      <c r="E483" s="1" t="s">
        <v>22</v>
      </c>
      <c r="F483" s="1">
        <v>191805080</v>
      </c>
      <c r="G483" s="1">
        <v>96329023</v>
      </c>
      <c r="H483" s="1">
        <v>95476057</v>
      </c>
      <c r="I483" s="1">
        <v>12726013</v>
      </c>
      <c r="J483" s="1">
        <v>771568</v>
      </c>
      <c r="K483" s="1">
        <v>6.63</v>
      </c>
      <c r="L483" s="1">
        <v>19.73</v>
      </c>
      <c r="M483" s="1">
        <v>18.23</v>
      </c>
      <c r="N483" s="1">
        <v>5.95</v>
      </c>
      <c r="O483" s="1">
        <v>25.66</v>
      </c>
      <c r="P483" s="1">
        <v>30.52</v>
      </c>
      <c r="Q483" s="1">
        <v>6416.14</v>
      </c>
      <c r="R483" s="1">
        <v>47</v>
      </c>
      <c r="S483" s="1">
        <v>73.2</v>
      </c>
    </row>
    <row r="484" spans="1:19" ht="15">
      <c r="A484" s="1">
        <v>27</v>
      </c>
      <c r="B484" s="1" t="s">
        <v>51</v>
      </c>
      <c r="C484" s="1" t="s">
        <v>33</v>
      </c>
      <c r="D484" s="1">
        <v>2025</v>
      </c>
      <c r="E484" s="1" t="s">
        <v>23</v>
      </c>
      <c r="F484" s="1">
        <v>89313966</v>
      </c>
      <c r="G484" s="1">
        <v>44210444</v>
      </c>
      <c r="H484" s="1">
        <v>45103522</v>
      </c>
      <c r="I484" s="1">
        <v>6784428</v>
      </c>
      <c r="J484" s="1">
        <v>397835</v>
      </c>
      <c r="K484" s="1">
        <v>7.6</v>
      </c>
      <c r="L484" s="1">
        <v>24.3</v>
      </c>
      <c r="M484" s="1">
        <v>34.090000000000003</v>
      </c>
      <c r="N484" s="1">
        <v>7.25</v>
      </c>
      <c r="O484" s="1">
        <v>39.520000000000003</v>
      </c>
      <c r="P484" s="1">
        <v>39.630000000000003</v>
      </c>
      <c r="Q484" s="1">
        <v>9779.74</v>
      </c>
      <c r="R484" s="1">
        <v>56</v>
      </c>
      <c r="S484" s="1">
        <v>61.6</v>
      </c>
    </row>
    <row r="485" spans="1:19" ht="15">
      <c r="A485" s="1">
        <v>27</v>
      </c>
      <c r="B485" s="1" t="s">
        <v>51</v>
      </c>
      <c r="C485" s="1" t="s">
        <v>33</v>
      </c>
      <c r="D485" s="1">
        <v>2026</v>
      </c>
      <c r="E485" s="1" t="s">
        <v>21</v>
      </c>
      <c r="F485" s="1">
        <v>143288288</v>
      </c>
      <c r="G485" s="1">
        <v>73249647</v>
      </c>
      <c r="H485" s="1">
        <v>70038641</v>
      </c>
      <c r="I485" s="1">
        <v>11543759</v>
      </c>
      <c r="J485" s="1">
        <v>490424</v>
      </c>
      <c r="K485" s="1">
        <v>8.06</v>
      </c>
      <c r="L485" s="1">
        <v>14.84</v>
      </c>
      <c r="M485" s="1">
        <v>18.34</v>
      </c>
      <c r="N485" s="1">
        <v>8.2100000000000009</v>
      </c>
      <c r="O485" s="1">
        <v>27.99</v>
      </c>
      <c r="P485" s="1">
        <v>28.27</v>
      </c>
      <c r="Q485" s="1">
        <v>9589.2800000000007</v>
      </c>
      <c r="R485" s="1">
        <v>48</v>
      </c>
      <c r="S485" s="1">
        <v>60.6</v>
      </c>
    </row>
    <row r="486" spans="1:19" ht="15">
      <c r="A486" s="1">
        <v>27</v>
      </c>
      <c r="B486" s="1" t="s">
        <v>51</v>
      </c>
      <c r="C486" s="1" t="s">
        <v>33</v>
      </c>
      <c r="D486" s="1">
        <v>2026</v>
      </c>
      <c r="E486" s="1" t="s">
        <v>22</v>
      </c>
      <c r="F486" s="1">
        <v>80177212</v>
      </c>
      <c r="G486" s="1">
        <v>40700194</v>
      </c>
      <c r="H486" s="1">
        <v>39477018</v>
      </c>
      <c r="I486" s="1">
        <v>4015479</v>
      </c>
      <c r="J486" s="1">
        <v>215103</v>
      </c>
      <c r="K486" s="1">
        <v>5.01</v>
      </c>
      <c r="L486" s="1">
        <v>23.1</v>
      </c>
      <c r="M486" s="1">
        <v>25.38</v>
      </c>
      <c r="N486" s="1">
        <v>13.13</v>
      </c>
      <c r="O486" s="1">
        <v>38.89</v>
      </c>
      <c r="P486" s="1">
        <v>23.32</v>
      </c>
      <c r="Q486" s="1">
        <v>8841.02</v>
      </c>
      <c r="R486" s="1">
        <v>64</v>
      </c>
      <c r="S486" s="1">
        <v>79.400000000000006</v>
      </c>
    </row>
    <row r="487" spans="1:19" ht="15">
      <c r="A487" s="1">
        <v>27</v>
      </c>
      <c r="B487" s="1" t="s">
        <v>51</v>
      </c>
      <c r="C487" s="1" t="s">
        <v>33</v>
      </c>
      <c r="D487" s="1">
        <v>2026</v>
      </c>
      <c r="E487" s="1" t="s">
        <v>23</v>
      </c>
      <c r="F487" s="1">
        <v>173109424</v>
      </c>
      <c r="G487" s="1">
        <v>88612295</v>
      </c>
      <c r="H487" s="1">
        <v>84497129</v>
      </c>
      <c r="I487" s="1">
        <v>13171072</v>
      </c>
      <c r="J487" s="1">
        <v>911561</v>
      </c>
      <c r="K487" s="1">
        <v>7.61</v>
      </c>
      <c r="L487" s="1">
        <v>14.72</v>
      </c>
      <c r="M487" s="1">
        <v>22.83</v>
      </c>
      <c r="N487" s="1">
        <v>10.46</v>
      </c>
      <c r="O487" s="1">
        <v>23</v>
      </c>
      <c r="P487" s="1">
        <v>36.6</v>
      </c>
      <c r="Q487" s="1">
        <v>5599.44</v>
      </c>
      <c r="R487" s="1">
        <v>46</v>
      </c>
      <c r="S487" s="1">
        <v>73.5</v>
      </c>
    </row>
    <row r="488" spans="1:19" ht="15">
      <c r="A488" s="1">
        <v>28</v>
      </c>
      <c r="B488" s="1" t="s">
        <v>52</v>
      </c>
      <c r="C488" s="1" t="s">
        <v>33</v>
      </c>
      <c r="D488" s="1">
        <v>2021</v>
      </c>
      <c r="E488" s="1" t="s">
        <v>21</v>
      </c>
      <c r="F488" s="1">
        <v>80247861</v>
      </c>
      <c r="G488" s="1">
        <v>40416865</v>
      </c>
      <c r="H488" s="1">
        <v>39830996</v>
      </c>
      <c r="I488" s="1">
        <v>5371985</v>
      </c>
      <c r="J488" s="1">
        <v>347470</v>
      </c>
      <c r="K488" s="1">
        <v>6.69</v>
      </c>
      <c r="L488" s="1">
        <v>16.059999999999999</v>
      </c>
      <c r="M488" s="1">
        <v>23.53</v>
      </c>
      <c r="N488" s="1">
        <v>5.13</v>
      </c>
      <c r="O488" s="1">
        <v>21.4</v>
      </c>
      <c r="P488" s="1">
        <v>17.09</v>
      </c>
      <c r="Q488" s="1">
        <v>7615.42</v>
      </c>
      <c r="R488" s="1">
        <v>76</v>
      </c>
      <c r="S488" s="1">
        <v>68.3</v>
      </c>
    </row>
    <row r="489" spans="1:19" ht="15">
      <c r="A489" s="1">
        <v>28</v>
      </c>
      <c r="B489" s="1" t="s">
        <v>52</v>
      </c>
      <c r="C489" s="1" t="s">
        <v>33</v>
      </c>
      <c r="D489" s="1">
        <v>2021</v>
      </c>
      <c r="E489" s="1" t="s">
        <v>22</v>
      </c>
      <c r="F489" s="1">
        <v>103550476</v>
      </c>
      <c r="G489" s="1">
        <v>51241677</v>
      </c>
      <c r="H489" s="1">
        <v>52308799</v>
      </c>
      <c r="I489" s="1">
        <v>9830761</v>
      </c>
      <c r="J489" s="1">
        <v>652034</v>
      </c>
      <c r="K489" s="1">
        <v>9.49</v>
      </c>
      <c r="L489" s="1">
        <v>15.43</v>
      </c>
      <c r="M489" s="1">
        <v>18.78</v>
      </c>
      <c r="N489" s="1">
        <v>14.53</v>
      </c>
      <c r="O489" s="1">
        <v>27.64</v>
      </c>
      <c r="P489" s="1">
        <v>27.68</v>
      </c>
      <c r="Q489" s="1">
        <v>8938.75</v>
      </c>
      <c r="R489" s="1">
        <v>70</v>
      </c>
      <c r="S489" s="1">
        <v>74.900000000000006</v>
      </c>
    </row>
    <row r="490" spans="1:19" ht="15">
      <c r="A490" s="1">
        <v>28</v>
      </c>
      <c r="B490" s="1" t="s">
        <v>52</v>
      </c>
      <c r="C490" s="1" t="s">
        <v>33</v>
      </c>
      <c r="D490" s="1">
        <v>2021</v>
      </c>
      <c r="E490" s="1" t="s">
        <v>23</v>
      </c>
      <c r="F490" s="1">
        <v>46033071</v>
      </c>
      <c r="G490" s="1">
        <v>22527015</v>
      </c>
      <c r="H490" s="1">
        <v>23506056</v>
      </c>
      <c r="I490" s="1">
        <v>4281597</v>
      </c>
      <c r="J490" s="1">
        <v>217520</v>
      </c>
      <c r="K490" s="1">
        <v>9.3000000000000007</v>
      </c>
      <c r="L490" s="1">
        <v>29.53</v>
      </c>
      <c r="M490" s="1">
        <v>11.6</v>
      </c>
      <c r="N490" s="1">
        <v>10.34</v>
      </c>
      <c r="O490" s="1">
        <v>29.09</v>
      </c>
      <c r="P490" s="1">
        <v>22.28</v>
      </c>
      <c r="Q490" s="1">
        <v>1930.79</v>
      </c>
      <c r="R490" s="1">
        <v>51</v>
      </c>
      <c r="S490" s="1">
        <v>78.8</v>
      </c>
    </row>
    <row r="491" spans="1:19" ht="15">
      <c r="A491" s="1">
        <v>28</v>
      </c>
      <c r="B491" s="1" t="s">
        <v>52</v>
      </c>
      <c r="C491" s="1" t="s">
        <v>33</v>
      </c>
      <c r="D491" s="1">
        <v>2022</v>
      </c>
      <c r="E491" s="1" t="s">
        <v>21</v>
      </c>
      <c r="F491" s="1">
        <v>16989871</v>
      </c>
      <c r="G491" s="1">
        <v>8274063</v>
      </c>
      <c r="H491" s="1">
        <v>8715808</v>
      </c>
      <c r="I491" s="1">
        <v>876832</v>
      </c>
      <c r="J491" s="1">
        <v>50810</v>
      </c>
      <c r="K491" s="1">
        <v>5.16</v>
      </c>
      <c r="L491" s="1">
        <v>14.45</v>
      </c>
      <c r="M491" s="1">
        <v>19.239999999999998</v>
      </c>
      <c r="N491" s="1">
        <v>13.1</v>
      </c>
      <c r="O491" s="1">
        <v>32.03</v>
      </c>
      <c r="P491" s="1">
        <v>18.73</v>
      </c>
      <c r="Q491" s="1">
        <v>1980.04</v>
      </c>
      <c r="R491" s="1">
        <v>53</v>
      </c>
      <c r="S491" s="1">
        <v>79.400000000000006</v>
      </c>
    </row>
    <row r="492" spans="1:19" ht="15">
      <c r="A492" s="1">
        <v>28</v>
      </c>
      <c r="B492" s="1" t="s">
        <v>52</v>
      </c>
      <c r="C492" s="1" t="s">
        <v>33</v>
      </c>
      <c r="D492" s="1">
        <v>2022</v>
      </c>
      <c r="E492" s="1" t="s">
        <v>22</v>
      </c>
      <c r="F492" s="1">
        <v>119757083</v>
      </c>
      <c r="G492" s="1">
        <v>59748679</v>
      </c>
      <c r="H492" s="1">
        <v>60008404</v>
      </c>
      <c r="I492" s="1">
        <v>10025525</v>
      </c>
      <c r="J492" s="1">
        <v>697677</v>
      </c>
      <c r="K492" s="1">
        <v>8.3699999999999992</v>
      </c>
      <c r="L492" s="1">
        <v>13.22</v>
      </c>
      <c r="M492" s="1">
        <v>26.39</v>
      </c>
      <c r="N492" s="1">
        <v>14.77</v>
      </c>
      <c r="O492" s="1">
        <v>33.729999999999997</v>
      </c>
      <c r="P492" s="1">
        <v>32.659999999999997</v>
      </c>
      <c r="Q492" s="1">
        <v>1762.32</v>
      </c>
      <c r="R492" s="1">
        <v>49</v>
      </c>
      <c r="S492" s="1">
        <v>63.4</v>
      </c>
    </row>
    <row r="493" spans="1:19" ht="15">
      <c r="A493" s="1">
        <v>28</v>
      </c>
      <c r="B493" s="1" t="s">
        <v>52</v>
      </c>
      <c r="C493" s="1" t="s">
        <v>33</v>
      </c>
      <c r="D493" s="1">
        <v>2022</v>
      </c>
      <c r="E493" s="1" t="s">
        <v>23</v>
      </c>
      <c r="F493" s="1">
        <v>115663572</v>
      </c>
      <c r="G493" s="1">
        <v>58806326</v>
      </c>
      <c r="H493" s="1">
        <v>56857246</v>
      </c>
      <c r="I493" s="1">
        <v>8549121</v>
      </c>
      <c r="J493" s="1">
        <v>280966</v>
      </c>
      <c r="K493" s="1">
        <v>7.39</v>
      </c>
      <c r="L493" s="1">
        <v>14.38</v>
      </c>
      <c r="M493" s="1">
        <v>19.75</v>
      </c>
      <c r="N493" s="1">
        <v>6.45</v>
      </c>
      <c r="O493" s="1">
        <v>26.65</v>
      </c>
      <c r="P493" s="1">
        <v>39.979999999999997</v>
      </c>
      <c r="Q493" s="1">
        <v>3027.57</v>
      </c>
      <c r="R493" s="1">
        <v>68</v>
      </c>
      <c r="S493" s="1">
        <v>60.1</v>
      </c>
    </row>
    <row r="494" spans="1:19" ht="15">
      <c r="A494" s="1">
        <v>28</v>
      </c>
      <c r="B494" s="1" t="s">
        <v>52</v>
      </c>
      <c r="C494" s="1" t="s">
        <v>33</v>
      </c>
      <c r="D494" s="1">
        <v>2023</v>
      </c>
      <c r="E494" s="1" t="s">
        <v>21</v>
      </c>
      <c r="F494" s="1">
        <v>115194492</v>
      </c>
      <c r="G494" s="1">
        <v>59660434</v>
      </c>
      <c r="H494" s="1">
        <v>55534058</v>
      </c>
      <c r="I494" s="1">
        <v>10616254</v>
      </c>
      <c r="J494" s="1">
        <v>359321</v>
      </c>
      <c r="K494" s="1">
        <v>9.2200000000000006</v>
      </c>
      <c r="L494" s="1">
        <v>13.28</v>
      </c>
      <c r="M494" s="1">
        <v>24.72</v>
      </c>
      <c r="N494" s="1">
        <v>6.58</v>
      </c>
      <c r="O494" s="1">
        <v>26.37</v>
      </c>
      <c r="P494" s="1">
        <v>34.67</v>
      </c>
      <c r="Q494" s="1">
        <v>8442.35</v>
      </c>
      <c r="R494" s="1">
        <v>65</v>
      </c>
      <c r="S494" s="1">
        <v>61</v>
      </c>
    </row>
    <row r="495" spans="1:19" ht="15">
      <c r="A495" s="1">
        <v>28</v>
      </c>
      <c r="B495" s="1" t="s">
        <v>52</v>
      </c>
      <c r="C495" s="1" t="s">
        <v>33</v>
      </c>
      <c r="D495" s="1">
        <v>2023</v>
      </c>
      <c r="E495" s="1" t="s">
        <v>22</v>
      </c>
      <c r="F495" s="1">
        <v>128241659</v>
      </c>
      <c r="G495" s="1">
        <v>62645763</v>
      </c>
      <c r="H495" s="1">
        <v>65595896</v>
      </c>
      <c r="I495" s="1">
        <v>7179147</v>
      </c>
      <c r="J495" s="1">
        <v>417664</v>
      </c>
      <c r="K495" s="1">
        <v>5.6</v>
      </c>
      <c r="L495" s="1">
        <v>24.93</v>
      </c>
      <c r="M495" s="1">
        <v>22.04</v>
      </c>
      <c r="N495" s="1">
        <v>13.06</v>
      </c>
      <c r="O495" s="1">
        <v>21.51</v>
      </c>
      <c r="P495" s="1">
        <v>18.72</v>
      </c>
      <c r="Q495" s="1">
        <v>1225.83</v>
      </c>
      <c r="R495" s="1">
        <v>64</v>
      </c>
      <c r="S495" s="1">
        <v>64.599999999999994</v>
      </c>
    </row>
    <row r="496" spans="1:19" ht="15">
      <c r="A496" s="1">
        <v>28</v>
      </c>
      <c r="B496" s="1" t="s">
        <v>52</v>
      </c>
      <c r="C496" s="1" t="s">
        <v>33</v>
      </c>
      <c r="D496" s="1">
        <v>2023</v>
      </c>
      <c r="E496" s="1" t="s">
        <v>23</v>
      </c>
      <c r="F496" s="1">
        <v>81975438</v>
      </c>
      <c r="G496" s="1">
        <v>42381630</v>
      </c>
      <c r="H496" s="1">
        <v>39593808</v>
      </c>
      <c r="I496" s="1">
        <v>4735083</v>
      </c>
      <c r="J496" s="1">
        <v>332177</v>
      </c>
      <c r="K496" s="1">
        <v>5.78</v>
      </c>
      <c r="L496" s="1">
        <v>11.37</v>
      </c>
      <c r="M496" s="1">
        <v>15.95</v>
      </c>
      <c r="N496" s="1">
        <v>8.41</v>
      </c>
      <c r="O496" s="1">
        <v>38.22</v>
      </c>
      <c r="P496" s="1">
        <v>39.01</v>
      </c>
      <c r="Q496" s="1">
        <v>8036.14</v>
      </c>
      <c r="R496" s="1">
        <v>56</v>
      </c>
      <c r="S496" s="1">
        <v>80</v>
      </c>
    </row>
    <row r="497" spans="1:19" ht="15">
      <c r="A497" s="1">
        <v>28</v>
      </c>
      <c r="B497" s="1" t="s">
        <v>52</v>
      </c>
      <c r="C497" s="1" t="s">
        <v>33</v>
      </c>
      <c r="D497" s="1">
        <v>2024</v>
      </c>
      <c r="E497" s="1" t="s">
        <v>21</v>
      </c>
      <c r="F497" s="1">
        <v>77793012</v>
      </c>
      <c r="G497" s="1">
        <v>39044619</v>
      </c>
      <c r="H497" s="1">
        <v>38748393</v>
      </c>
      <c r="I497" s="1">
        <v>4229897</v>
      </c>
      <c r="J497" s="1">
        <v>201805</v>
      </c>
      <c r="K497" s="1">
        <v>5.44</v>
      </c>
      <c r="L497" s="1">
        <v>12.67</v>
      </c>
      <c r="M497" s="1">
        <v>30.14</v>
      </c>
      <c r="N497" s="1">
        <v>7.25</v>
      </c>
      <c r="O497" s="1">
        <v>26.9</v>
      </c>
      <c r="P497" s="1">
        <v>31.12</v>
      </c>
      <c r="Q497" s="1">
        <v>6942.52</v>
      </c>
      <c r="R497" s="1">
        <v>53</v>
      </c>
      <c r="S497" s="1">
        <v>77.3</v>
      </c>
    </row>
    <row r="498" spans="1:19" ht="15">
      <c r="A498" s="1">
        <v>28</v>
      </c>
      <c r="B498" s="1" t="s">
        <v>52</v>
      </c>
      <c r="C498" s="1" t="s">
        <v>33</v>
      </c>
      <c r="D498" s="1">
        <v>2024</v>
      </c>
      <c r="E498" s="1" t="s">
        <v>22</v>
      </c>
      <c r="F498" s="1">
        <v>154615738</v>
      </c>
      <c r="G498" s="1">
        <v>79955919</v>
      </c>
      <c r="H498" s="1">
        <v>74659819</v>
      </c>
      <c r="I498" s="1">
        <v>11836001</v>
      </c>
      <c r="J498" s="1">
        <v>580040</v>
      </c>
      <c r="K498" s="1">
        <v>7.66</v>
      </c>
      <c r="L498" s="1">
        <v>11.09</v>
      </c>
      <c r="M498" s="1">
        <v>13.36</v>
      </c>
      <c r="N498" s="1">
        <v>7.04</v>
      </c>
      <c r="O498" s="1">
        <v>22.06</v>
      </c>
      <c r="P498" s="1">
        <v>15.06</v>
      </c>
      <c r="Q498" s="1">
        <v>5453.66</v>
      </c>
      <c r="R498" s="1">
        <v>76</v>
      </c>
      <c r="S498" s="1">
        <v>67.400000000000006</v>
      </c>
    </row>
    <row r="499" spans="1:19" ht="15">
      <c r="A499" s="1">
        <v>28</v>
      </c>
      <c r="B499" s="1" t="s">
        <v>52</v>
      </c>
      <c r="C499" s="1" t="s">
        <v>33</v>
      </c>
      <c r="D499" s="1">
        <v>2024</v>
      </c>
      <c r="E499" s="1" t="s">
        <v>23</v>
      </c>
      <c r="F499" s="1">
        <v>24067126</v>
      </c>
      <c r="G499" s="1">
        <v>11847547</v>
      </c>
      <c r="H499" s="1">
        <v>12219579</v>
      </c>
      <c r="I499" s="1">
        <v>1701115</v>
      </c>
      <c r="J499" s="1">
        <v>96835</v>
      </c>
      <c r="K499" s="1">
        <v>7.07</v>
      </c>
      <c r="L499" s="1">
        <v>16.45</v>
      </c>
      <c r="M499" s="1">
        <v>15.75</v>
      </c>
      <c r="N499" s="1">
        <v>11.62</v>
      </c>
      <c r="O499" s="1">
        <v>22.2</v>
      </c>
      <c r="P499" s="1">
        <v>23.63</v>
      </c>
      <c r="Q499" s="1">
        <v>2278.48</v>
      </c>
      <c r="R499" s="1">
        <v>63</v>
      </c>
      <c r="S499" s="1">
        <v>78.900000000000006</v>
      </c>
    </row>
    <row r="500" spans="1:19" ht="15">
      <c r="A500" s="1">
        <v>28</v>
      </c>
      <c r="B500" s="1" t="s">
        <v>52</v>
      </c>
      <c r="C500" s="1" t="s">
        <v>33</v>
      </c>
      <c r="D500" s="1">
        <v>2025</v>
      </c>
      <c r="E500" s="1" t="s">
        <v>21</v>
      </c>
      <c r="F500" s="1">
        <v>6073147</v>
      </c>
      <c r="G500" s="1">
        <v>3097414</v>
      </c>
      <c r="H500" s="1">
        <v>2975733</v>
      </c>
      <c r="I500" s="1">
        <v>564073</v>
      </c>
      <c r="J500" s="1">
        <v>35111</v>
      </c>
      <c r="K500" s="1">
        <v>9.2899999999999991</v>
      </c>
      <c r="L500" s="1">
        <v>26.61</v>
      </c>
      <c r="M500" s="1">
        <v>20.79</v>
      </c>
      <c r="N500" s="1">
        <v>9.86</v>
      </c>
      <c r="O500" s="1">
        <v>29.69</v>
      </c>
      <c r="P500" s="1">
        <v>16.78</v>
      </c>
      <c r="Q500" s="1">
        <v>10296.09</v>
      </c>
      <c r="R500" s="1">
        <v>49</v>
      </c>
      <c r="S500" s="1">
        <v>82.6</v>
      </c>
    </row>
    <row r="501" spans="1:19" ht="15">
      <c r="A501" s="1">
        <v>28</v>
      </c>
      <c r="B501" s="1" t="s">
        <v>52</v>
      </c>
      <c r="C501" s="1" t="s">
        <v>33</v>
      </c>
      <c r="D501" s="1">
        <v>2025</v>
      </c>
      <c r="E501" s="1" t="s">
        <v>22</v>
      </c>
      <c r="F501" s="1">
        <v>170750424</v>
      </c>
      <c r="G501" s="1">
        <v>87805961</v>
      </c>
      <c r="H501" s="1">
        <v>82944463</v>
      </c>
      <c r="I501" s="1">
        <v>16498335</v>
      </c>
      <c r="J501" s="1">
        <v>1301331</v>
      </c>
      <c r="K501" s="1">
        <v>9.66</v>
      </c>
      <c r="L501" s="1">
        <v>17.95</v>
      </c>
      <c r="M501" s="1">
        <v>11.79</v>
      </c>
      <c r="N501" s="1">
        <v>10.6</v>
      </c>
      <c r="O501" s="1">
        <v>35.53</v>
      </c>
      <c r="P501" s="1">
        <v>38.96</v>
      </c>
      <c r="Q501" s="1">
        <v>3579.44</v>
      </c>
      <c r="R501" s="1">
        <v>56</v>
      </c>
      <c r="S501" s="1">
        <v>82.1</v>
      </c>
    </row>
    <row r="502" spans="1:19" ht="15">
      <c r="A502" s="1">
        <v>28</v>
      </c>
      <c r="B502" s="1" t="s">
        <v>52</v>
      </c>
      <c r="C502" s="1" t="s">
        <v>33</v>
      </c>
      <c r="D502" s="1">
        <v>2025</v>
      </c>
      <c r="E502" s="1" t="s">
        <v>23</v>
      </c>
      <c r="F502" s="1">
        <v>68026965</v>
      </c>
      <c r="G502" s="1">
        <v>34851077</v>
      </c>
      <c r="H502" s="1">
        <v>33175888</v>
      </c>
      <c r="I502" s="1">
        <v>3986147</v>
      </c>
      <c r="J502" s="1">
        <v>312652</v>
      </c>
      <c r="K502" s="1">
        <v>5.86</v>
      </c>
      <c r="L502" s="1">
        <v>10.61</v>
      </c>
      <c r="M502" s="1">
        <v>10.199999999999999</v>
      </c>
      <c r="N502" s="1">
        <v>6.88</v>
      </c>
      <c r="O502" s="1">
        <v>23.86</v>
      </c>
      <c r="P502" s="1">
        <v>22.3</v>
      </c>
      <c r="Q502" s="1">
        <v>7434.76</v>
      </c>
      <c r="R502" s="1">
        <v>46</v>
      </c>
      <c r="S502" s="1">
        <v>69.8</v>
      </c>
    </row>
    <row r="503" spans="1:19" ht="15">
      <c r="A503" s="1">
        <v>28</v>
      </c>
      <c r="B503" s="1" t="s">
        <v>52</v>
      </c>
      <c r="C503" s="1" t="s">
        <v>33</v>
      </c>
      <c r="D503" s="1">
        <v>2026</v>
      </c>
      <c r="E503" s="1" t="s">
        <v>21</v>
      </c>
      <c r="F503" s="1">
        <v>184093721</v>
      </c>
      <c r="G503" s="1">
        <v>89925446</v>
      </c>
      <c r="H503" s="1">
        <v>94168275</v>
      </c>
      <c r="I503" s="1">
        <v>13375883</v>
      </c>
      <c r="J503" s="1">
        <v>499641</v>
      </c>
      <c r="K503" s="1">
        <v>7.27</v>
      </c>
      <c r="L503" s="1">
        <v>27.53</v>
      </c>
      <c r="M503" s="1">
        <v>18.29</v>
      </c>
      <c r="N503" s="1">
        <v>10.76</v>
      </c>
      <c r="O503" s="1">
        <v>38.340000000000003</v>
      </c>
      <c r="P503" s="1">
        <v>27.52</v>
      </c>
      <c r="Q503" s="1">
        <v>5887.76</v>
      </c>
      <c r="R503" s="1">
        <v>73</v>
      </c>
      <c r="S503" s="1">
        <v>80</v>
      </c>
    </row>
    <row r="504" spans="1:19" ht="15">
      <c r="A504" s="1">
        <v>28</v>
      </c>
      <c r="B504" s="1" t="s">
        <v>52</v>
      </c>
      <c r="C504" s="1" t="s">
        <v>33</v>
      </c>
      <c r="D504" s="1">
        <v>2026</v>
      </c>
      <c r="E504" s="1" t="s">
        <v>22</v>
      </c>
      <c r="F504" s="1">
        <v>124151642</v>
      </c>
      <c r="G504" s="1">
        <v>60095646</v>
      </c>
      <c r="H504" s="1">
        <v>64055996</v>
      </c>
      <c r="I504" s="1">
        <v>10437562</v>
      </c>
      <c r="J504" s="1">
        <v>489514</v>
      </c>
      <c r="K504" s="1">
        <v>8.41</v>
      </c>
      <c r="L504" s="1">
        <v>13.03</v>
      </c>
      <c r="M504" s="1">
        <v>32.42</v>
      </c>
      <c r="N504" s="1">
        <v>14.23</v>
      </c>
      <c r="O504" s="1">
        <v>22.77</v>
      </c>
      <c r="P504" s="1">
        <v>26.97</v>
      </c>
      <c r="Q504" s="1">
        <v>11940.61</v>
      </c>
      <c r="R504" s="1">
        <v>63</v>
      </c>
      <c r="S504" s="1">
        <v>69.3</v>
      </c>
    </row>
    <row r="505" spans="1:19" ht="15">
      <c r="A505" s="1">
        <v>28</v>
      </c>
      <c r="B505" s="1" t="s">
        <v>52</v>
      </c>
      <c r="C505" s="1" t="s">
        <v>33</v>
      </c>
      <c r="D505" s="1">
        <v>2026</v>
      </c>
      <c r="E505" s="1" t="s">
        <v>23</v>
      </c>
      <c r="F505" s="1">
        <v>141747442</v>
      </c>
      <c r="G505" s="1">
        <v>69012211</v>
      </c>
      <c r="H505" s="1">
        <v>72735231</v>
      </c>
      <c r="I505" s="1">
        <v>14074607</v>
      </c>
      <c r="J505" s="1">
        <v>851288</v>
      </c>
      <c r="K505" s="1">
        <v>9.93</v>
      </c>
      <c r="L505" s="1">
        <v>17.760000000000002</v>
      </c>
      <c r="M505" s="1">
        <v>16.25</v>
      </c>
      <c r="N505" s="1">
        <v>14.4</v>
      </c>
      <c r="O505" s="1">
        <v>33.04</v>
      </c>
      <c r="P505" s="1">
        <v>15.21</v>
      </c>
      <c r="Q505" s="1">
        <v>7818.15</v>
      </c>
      <c r="R505" s="1">
        <v>82</v>
      </c>
      <c r="S505" s="1">
        <v>71.5</v>
      </c>
    </row>
    <row r="506" spans="1:19" ht="15">
      <c r="A506" s="1">
        <v>29</v>
      </c>
      <c r="B506" s="1" t="s">
        <v>53</v>
      </c>
      <c r="C506" s="1" t="s">
        <v>33</v>
      </c>
      <c r="D506" s="1">
        <v>2021</v>
      </c>
      <c r="E506" s="1" t="s">
        <v>21</v>
      </c>
      <c r="F506" s="1">
        <v>154744577</v>
      </c>
      <c r="G506" s="1">
        <v>75065132</v>
      </c>
      <c r="H506" s="1">
        <v>79679445</v>
      </c>
      <c r="I506" s="1">
        <v>10625362</v>
      </c>
      <c r="J506" s="1">
        <v>573443</v>
      </c>
      <c r="K506" s="1">
        <v>6.87</v>
      </c>
      <c r="L506" s="1">
        <v>20.81</v>
      </c>
      <c r="M506" s="1">
        <v>12.47</v>
      </c>
      <c r="N506" s="1">
        <v>8.41</v>
      </c>
      <c r="O506" s="1">
        <v>29.6</v>
      </c>
      <c r="P506" s="1">
        <v>20.82</v>
      </c>
      <c r="Q506" s="1">
        <v>1106.67</v>
      </c>
      <c r="R506" s="1">
        <v>77</v>
      </c>
      <c r="S506" s="1">
        <v>71.7</v>
      </c>
    </row>
    <row r="507" spans="1:19" ht="15">
      <c r="A507" s="1">
        <v>29</v>
      </c>
      <c r="B507" s="1" t="s">
        <v>53</v>
      </c>
      <c r="C507" s="1" t="s">
        <v>33</v>
      </c>
      <c r="D507" s="1">
        <v>2021</v>
      </c>
      <c r="E507" s="1" t="s">
        <v>22</v>
      </c>
      <c r="F507" s="1">
        <v>17423776</v>
      </c>
      <c r="G507" s="1">
        <v>8374255</v>
      </c>
      <c r="H507" s="1">
        <v>9049521</v>
      </c>
      <c r="I507" s="1">
        <v>985443</v>
      </c>
      <c r="J507" s="1">
        <v>44193</v>
      </c>
      <c r="K507" s="1">
        <v>5.66</v>
      </c>
      <c r="L507" s="1">
        <v>17.64</v>
      </c>
      <c r="M507" s="1">
        <v>20.96</v>
      </c>
      <c r="N507" s="1">
        <v>9.1</v>
      </c>
      <c r="O507" s="1">
        <v>21.43</v>
      </c>
      <c r="P507" s="1">
        <v>37.58</v>
      </c>
      <c r="Q507" s="1">
        <v>10285.49</v>
      </c>
      <c r="R507" s="1">
        <v>66</v>
      </c>
      <c r="S507" s="1">
        <v>80.5</v>
      </c>
    </row>
    <row r="508" spans="1:19" ht="15">
      <c r="A508" s="1">
        <v>29</v>
      </c>
      <c r="B508" s="1" t="s">
        <v>53</v>
      </c>
      <c r="C508" s="1" t="s">
        <v>33</v>
      </c>
      <c r="D508" s="1">
        <v>2021</v>
      </c>
      <c r="E508" s="1" t="s">
        <v>23</v>
      </c>
      <c r="F508" s="1">
        <v>80552281</v>
      </c>
      <c r="G508" s="1">
        <v>41476238</v>
      </c>
      <c r="H508" s="1">
        <v>39076043</v>
      </c>
      <c r="I508" s="1">
        <v>7579448</v>
      </c>
      <c r="J508" s="1">
        <v>322461</v>
      </c>
      <c r="K508" s="1">
        <v>9.41</v>
      </c>
      <c r="L508" s="1">
        <v>20.14</v>
      </c>
      <c r="M508" s="1">
        <v>34.270000000000003</v>
      </c>
      <c r="N508" s="1">
        <v>10.220000000000001</v>
      </c>
      <c r="O508" s="1">
        <v>36.61</v>
      </c>
      <c r="P508" s="1">
        <v>28.51</v>
      </c>
      <c r="Q508" s="1">
        <v>10698.15</v>
      </c>
      <c r="R508" s="1">
        <v>56</v>
      </c>
      <c r="S508" s="1">
        <v>77.8</v>
      </c>
    </row>
    <row r="509" spans="1:19" ht="15">
      <c r="A509" s="1">
        <v>29</v>
      </c>
      <c r="B509" s="1" t="s">
        <v>53</v>
      </c>
      <c r="C509" s="1" t="s">
        <v>33</v>
      </c>
      <c r="D509" s="1">
        <v>2022</v>
      </c>
      <c r="E509" s="1" t="s">
        <v>21</v>
      </c>
      <c r="F509" s="1">
        <v>102901577</v>
      </c>
      <c r="G509" s="1">
        <v>49865945</v>
      </c>
      <c r="H509" s="1">
        <v>53035632</v>
      </c>
      <c r="I509" s="1">
        <v>8215675</v>
      </c>
      <c r="J509" s="1">
        <v>258350</v>
      </c>
      <c r="K509" s="1">
        <v>7.98</v>
      </c>
      <c r="L509" s="1">
        <v>22.1</v>
      </c>
      <c r="M509" s="1">
        <v>25.63</v>
      </c>
      <c r="N509" s="1">
        <v>14.28</v>
      </c>
      <c r="O509" s="1">
        <v>23.27</v>
      </c>
      <c r="P509" s="1">
        <v>38.32</v>
      </c>
      <c r="Q509" s="1">
        <v>10736.58</v>
      </c>
      <c r="R509" s="1">
        <v>79</v>
      </c>
      <c r="S509" s="1">
        <v>61.7</v>
      </c>
    </row>
    <row r="510" spans="1:19" ht="15">
      <c r="A510" s="1">
        <v>29</v>
      </c>
      <c r="B510" s="1" t="s">
        <v>53</v>
      </c>
      <c r="C510" s="1" t="s">
        <v>33</v>
      </c>
      <c r="D510" s="1">
        <v>2022</v>
      </c>
      <c r="E510" s="1" t="s">
        <v>22</v>
      </c>
      <c r="F510" s="1">
        <v>113162572</v>
      </c>
      <c r="G510" s="1">
        <v>58534743</v>
      </c>
      <c r="H510" s="1">
        <v>54627829</v>
      </c>
      <c r="I510" s="1">
        <v>8798998</v>
      </c>
      <c r="J510" s="1">
        <v>378284</v>
      </c>
      <c r="K510" s="1">
        <v>7.78</v>
      </c>
      <c r="L510" s="1">
        <v>21.17</v>
      </c>
      <c r="M510" s="1">
        <v>21.57</v>
      </c>
      <c r="N510" s="1">
        <v>5.97</v>
      </c>
      <c r="O510" s="1">
        <v>29.93</v>
      </c>
      <c r="P510" s="1">
        <v>16.23</v>
      </c>
      <c r="Q510" s="1">
        <v>1482.18</v>
      </c>
      <c r="R510" s="1">
        <v>53</v>
      </c>
      <c r="S510" s="1">
        <v>70.2</v>
      </c>
    </row>
    <row r="511" spans="1:19" ht="15">
      <c r="A511" s="1">
        <v>29</v>
      </c>
      <c r="B511" s="1" t="s">
        <v>53</v>
      </c>
      <c r="C511" s="1" t="s">
        <v>33</v>
      </c>
      <c r="D511" s="1">
        <v>2022</v>
      </c>
      <c r="E511" s="1" t="s">
        <v>23</v>
      </c>
      <c r="F511" s="1">
        <v>156054891</v>
      </c>
      <c r="G511" s="1">
        <v>80945069</v>
      </c>
      <c r="H511" s="1">
        <v>75109822</v>
      </c>
      <c r="I511" s="1">
        <v>13733364</v>
      </c>
      <c r="J511" s="1">
        <v>535388</v>
      </c>
      <c r="K511" s="1">
        <v>8.8000000000000007</v>
      </c>
      <c r="L511" s="1">
        <v>21.62</v>
      </c>
      <c r="M511" s="1">
        <v>30.81</v>
      </c>
      <c r="N511" s="1">
        <v>7.45</v>
      </c>
      <c r="O511" s="1">
        <v>29.62</v>
      </c>
      <c r="P511" s="1">
        <v>39</v>
      </c>
      <c r="Q511" s="1">
        <v>5042.6499999999996</v>
      </c>
      <c r="R511" s="1">
        <v>74</v>
      </c>
      <c r="S511" s="1">
        <v>67.099999999999994</v>
      </c>
    </row>
    <row r="512" spans="1:19" ht="15">
      <c r="A512" s="1">
        <v>29</v>
      </c>
      <c r="B512" s="1" t="s">
        <v>53</v>
      </c>
      <c r="C512" s="1" t="s">
        <v>33</v>
      </c>
      <c r="D512" s="1">
        <v>2023</v>
      </c>
      <c r="E512" s="1" t="s">
        <v>21</v>
      </c>
      <c r="F512" s="1">
        <v>78810863</v>
      </c>
      <c r="G512" s="1">
        <v>40302458</v>
      </c>
      <c r="H512" s="1">
        <v>38508405</v>
      </c>
      <c r="I512" s="1">
        <v>5980754</v>
      </c>
      <c r="J512" s="1">
        <v>290492</v>
      </c>
      <c r="K512" s="1">
        <v>7.59</v>
      </c>
      <c r="L512" s="1">
        <v>28.47</v>
      </c>
      <c r="M512" s="1">
        <v>33.409999999999997</v>
      </c>
      <c r="N512" s="1">
        <v>12.05</v>
      </c>
      <c r="O512" s="1">
        <v>23.66</v>
      </c>
      <c r="P512" s="1">
        <v>30.08</v>
      </c>
      <c r="Q512" s="1">
        <v>3416.44</v>
      </c>
      <c r="R512" s="1">
        <v>43</v>
      </c>
      <c r="S512" s="1">
        <v>73.8</v>
      </c>
    </row>
    <row r="513" spans="1:19" ht="15">
      <c r="A513" s="1">
        <v>29</v>
      </c>
      <c r="B513" s="1" t="s">
        <v>53</v>
      </c>
      <c r="C513" s="1" t="s">
        <v>33</v>
      </c>
      <c r="D513" s="1">
        <v>2023</v>
      </c>
      <c r="E513" s="1" t="s">
        <v>22</v>
      </c>
      <c r="F513" s="1">
        <v>148041612</v>
      </c>
      <c r="G513" s="1">
        <v>75543012</v>
      </c>
      <c r="H513" s="1">
        <v>72498600</v>
      </c>
      <c r="I513" s="1">
        <v>11774667</v>
      </c>
      <c r="J513" s="1">
        <v>765956</v>
      </c>
      <c r="K513" s="1">
        <v>7.95</v>
      </c>
      <c r="L513" s="1">
        <v>29.37</v>
      </c>
      <c r="M513" s="1">
        <v>22.31</v>
      </c>
      <c r="N513" s="1">
        <v>14.28</v>
      </c>
      <c r="O513" s="1">
        <v>27.23</v>
      </c>
      <c r="P513" s="1">
        <v>20.16</v>
      </c>
      <c r="Q513" s="1">
        <v>11961.24</v>
      </c>
      <c r="R513" s="1">
        <v>79</v>
      </c>
      <c r="S513" s="1">
        <v>61.7</v>
      </c>
    </row>
    <row r="514" spans="1:19" ht="15">
      <c r="A514" s="1">
        <v>29</v>
      </c>
      <c r="B514" s="1" t="s">
        <v>53</v>
      </c>
      <c r="C514" s="1" t="s">
        <v>33</v>
      </c>
      <c r="D514" s="1">
        <v>2023</v>
      </c>
      <c r="E514" s="1" t="s">
        <v>23</v>
      </c>
      <c r="F514" s="1">
        <v>73925172</v>
      </c>
      <c r="G514" s="1">
        <v>37613421</v>
      </c>
      <c r="H514" s="1">
        <v>36311751</v>
      </c>
      <c r="I514" s="1">
        <v>3755157</v>
      </c>
      <c r="J514" s="1">
        <v>206420</v>
      </c>
      <c r="K514" s="1">
        <v>5.08</v>
      </c>
      <c r="L514" s="1">
        <v>30</v>
      </c>
      <c r="M514" s="1">
        <v>20.2</v>
      </c>
      <c r="N514" s="1">
        <v>14.47</v>
      </c>
      <c r="O514" s="1">
        <v>28.77</v>
      </c>
      <c r="P514" s="1">
        <v>35.06</v>
      </c>
      <c r="Q514" s="1">
        <v>10440.15</v>
      </c>
      <c r="R514" s="1">
        <v>79</v>
      </c>
      <c r="S514" s="1">
        <v>73.5</v>
      </c>
    </row>
    <row r="515" spans="1:19" ht="15">
      <c r="A515" s="1">
        <v>29</v>
      </c>
      <c r="B515" s="1" t="s">
        <v>53</v>
      </c>
      <c r="C515" s="1" t="s">
        <v>33</v>
      </c>
      <c r="D515" s="1">
        <v>2024</v>
      </c>
      <c r="E515" s="1" t="s">
        <v>21</v>
      </c>
      <c r="F515" s="1">
        <v>87532238</v>
      </c>
      <c r="G515" s="1">
        <v>44741627</v>
      </c>
      <c r="H515" s="1">
        <v>42790611</v>
      </c>
      <c r="I515" s="1">
        <v>5818313</v>
      </c>
      <c r="J515" s="1">
        <v>314282</v>
      </c>
      <c r="K515" s="1">
        <v>6.65</v>
      </c>
      <c r="L515" s="1">
        <v>19.100000000000001</v>
      </c>
      <c r="M515" s="1">
        <v>31.33</v>
      </c>
      <c r="N515" s="1">
        <v>14.22</v>
      </c>
      <c r="O515" s="1">
        <v>23.54</v>
      </c>
      <c r="P515" s="1">
        <v>36.36</v>
      </c>
      <c r="Q515" s="1">
        <v>4511.33</v>
      </c>
      <c r="R515" s="1">
        <v>63</v>
      </c>
      <c r="S515" s="1">
        <v>70.099999999999994</v>
      </c>
    </row>
    <row r="516" spans="1:19" ht="15">
      <c r="A516" s="1">
        <v>29</v>
      </c>
      <c r="B516" s="1" t="s">
        <v>53</v>
      </c>
      <c r="C516" s="1" t="s">
        <v>33</v>
      </c>
      <c r="D516" s="1">
        <v>2024</v>
      </c>
      <c r="E516" s="1" t="s">
        <v>22</v>
      </c>
      <c r="F516" s="1">
        <v>70067005</v>
      </c>
      <c r="G516" s="1">
        <v>35683311</v>
      </c>
      <c r="H516" s="1">
        <v>34383694</v>
      </c>
      <c r="I516" s="1">
        <v>5462680</v>
      </c>
      <c r="J516" s="1">
        <v>261150</v>
      </c>
      <c r="K516" s="1">
        <v>7.8</v>
      </c>
      <c r="L516" s="1">
        <v>18.649999999999999</v>
      </c>
      <c r="M516" s="1">
        <v>32.729999999999997</v>
      </c>
      <c r="N516" s="1">
        <v>6.96</v>
      </c>
      <c r="O516" s="1">
        <v>29</v>
      </c>
      <c r="P516" s="1">
        <v>28.16</v>
      </c>
      <c r="Q516" s="1">
        <v>10340.01</v>
      </c>
      <c r="R516" s="1">
        <v>42</v>
      </c>
      <c r="S516" s="1">
        <v>81.400000000000006</v>
      </c>
    </row>
    <row r="517" spans="1:19" ht="15">
      <c r="A517" s="1">
        <v>29</v>
      </c>
      <c r="B517" s="1" t="s">
        <v>53</v>
      </c>
      <c r="C517" s="1" t="s">
        <v>33</v>
      </c>
      <c r="D517" s="1">
        <v>2024</v>
      </c>
      <c r="E517" s="1" t="s">
        <v>23</v>
      </c>
      <c r="F517" s="1">
        <v>101954403</v>
      </c>
      <c r="G517" s="1">
        <v>49263271</v>
      </c>
      <c r="H517" s="1">
        <v>52691132</v>
      </c>
      <c r="I517" s="1">
        <v>5996508</v>
      </c>
      <c r="J517" s="1">
        <v>197133</v>
      </c>
      <c r="K517" s="1">
        <v>5.88</v>
      </c>
      <c r="L517" s="1">
        <v>17.39</v>
      </c>
      <c r="M517" s="1">
        <v>16.03</v>
      </c>
      <c r="N517" s="1">
        <v>5</v>
      </c>
      <c r="O517" s="1">
        <v>37.119999999999997</v>
      </c>
      <c r="P517" s="1">
        <v>36.93</v>
      </c>
      <c r="Q517" s="1">
        <v>2210.25</v>
      </c>
      <c r="R517" s="1">
        <v>51</v>
      </c>
      <c r="S517" s="1">
        <v>65.900000000000006</v>
      </c>
    </row>
    <row r="518" spans="1:19" ht="15">
      <c r="A518" s="1">
        <v>29</v>
      </c>
      <c r="B518" s="1" t="s">
        <v>53</v>
      </c>
      <c r="C518" s="1" t="s">
        <v>33</v>
      </c>
      <c r="D518" s="1">
        <v>2025</v>
      </c>
      <c r="E518" s="1" t="s">
        <v>21</v>
      </c>
      <c r="F518" s="1">
        <v>32561109</v>
      </c>
      <c r="G518" s="1">
        <v>16642554</v>
      </c>
      <c r="H518" s="1">
        <v>15918555</v>
      </c>
      <c r="I518" s="1">
        <v>2491791</v>
      </c>
      <c r="J518" s="1">
        <v>116375</v>
      </c>
      <c r="K518" s="1">
        <v>7.65</v>
      </c>
      <c r="L518" s="1">
        <v>21.08</v>
      </c>
      <c r="M518" s="1">
        <v>28.88</v>
      </c>
      <c r="N518" s="1">
        <v>6.14</v>
      </c>
      <c r="O518" s="1">
        <v>22.35</v>
      </c>
      <c r="P518" s="1">
        <v>16.77</v>
      </c>
      <c r="Q518" s="1">
        <v>3402.11</v>
      </c>
      <c r="R518" s="1">
        <v>84</v>
      </c>
      <c r="S518" s="1">
        <v>80.8</v>
      </c>
    </row>
    <row r="519" spans="1:19" ht="15">
      <c r="A519" s="1">
        <v>29</v>
      </c>
      <c r="B519" s="1" t="s">
        <v>53</v>
      </c>
      <c r="C519" s="1" t="s">
        <v>33</v>
      </c>
      <c r="D519" s="1">
        <v>2025</v>
      </c>
      <c r="E519" s="1" t="s">
        <v>22</v>
      </c>
      <c r="F519" s="1">
        <v>170901685</v>
      </c>
      <c r="G519" s="1">
        <v>85935719</v>
      </c>
      <c r="H519" s="1">
        <v>84965966</v>
      </c>
      <c r="I519" s="1">
        <v>15188403</v>
      </c>
      <c r="J519" s="1">
        <v>745002</v>
      </c>
      <c r="K519" s="1">
        <v>8.89</v>
      </c>
      <c r="L519" s="1">
        <v>28.63</v>
      </c>
      <c r="M519" s="1">
        <v>20.420000000000002</v>
      </c>
      <c r="N519" s="1">
        <v>13.29</v>
      </c>
      <c r="O519" s="1">
        <v>22.87</v>
      </c>
      <c r="P519" s="1">
        <v>32.79</v>
      </c>
      <c r="Q519" s="1">
        <v>3229.63</v>
      </c>
      <c r="R519" s="1">
        <v>42</v>
      </c>
      <c r="S519" s="1">
        <v>69.900000000000006</v>
      </c>
    </row>
    <row r="520" spans="1:19" ht="15">
      <c r="A520" s="1">
        <v>29</v>
      </c>
      <c r="B520" s="1" t="s">
        <v>53</v>
      </c>
      <c r="C520" s="1" t="s">
        <v>33</v>
      </c>
      <c r="D520" s="1">
        <v>2025</v>
      </c>
      <c r="E520" s="1" t="s">
        <v>23</v>
      </c>
      <c r="F520" s="1">
        <v>72832258</v>
      </c>
      <c r="G520" s="1">
        <v>36497659</v>
      </c>
      <c r="H520" s="1">
        <v>36334599</v>
      </c>
      <c r="I520" s="1">
        <v>7139988</v>
      </c>
      <c r="J520" s="1">
        <v>496634</v>
      </c>
      <c r="K520" s="1">
        <v>9.8000000000000007</v>
      </c>
      <c r="L520" s="1">
        <v>11.88</v>
      </c>
      <c r="M520" s="1">
        <v>27.76</v>
      </c>
      <c r="N520" s="1">
        <v>6.79</v>
      </c>
      <c r="O520" s="1">
        <v>27.31</v>
      </c>
      <c r="P520" s="1">
        <v>15.57</v>
      </c>
      <c r="Q520" s="1">
        <v>1877.34</v>
      </c>
      <c r="R520" s="1">
        <v>65</v>
      </c>
      <c r="S520" s="1">
        <v>76.5</v>
      </c>
    </row>
    <row r="521" spans="1:19" ht="15">
      <c r="A521" s="1">
        <v>29</v>
      </c>
      <c r="B521" s="1" t="s">
        <v>53</v>
      </c>
      <c r="C521" s="1" t="s">
        <v>33</v>
      </c>
      <c r="D521" s="1">
        <v>2026</v>
      </c>
      <c r="E521" s="1" t="s">
        <v>21</v>
      </c>
      <c r="F521" s="1">
        <v>44112972</v>
      </c>
      <c r="G521" s="1">
        <v>22878027</v>
      </c>
      <c r="H521" s="1">
        <v>21234945</v>
      </c>
      <c r="I521" s="1">
        <v>3402725</v>
      </c>
      <c r="J521" s="1">
        <v>242726</v>
      </c>
      <c r="K521" s="1">
        <v>7.71</v>
      </c>
      <c r="L521" s="1">
        <v>29.85</v>
      </c>
      <c r="M521" s="1">
        <v>34.47</v>
      </c>
      <c r="N521" s="1">
        <v>9.89</v>
      </c>
      <c r="O521" s="1">
        <v>31.56</v>
      </c>
      <c r="P521" s="1">
        <v>18.43</v>
      </c>
      <c r="Q521" s="1">
        <v>7962.32</v>
      </c>
      <c r="R521" s="1">
        <v>55</v>
      </c>
      <c r="S521" s="1">
        <v>68.2</v>
      </c>
    </row>
    <row r="522" spans="1:19" ht="15">
      <c r="A522" s="1">
        <v>29</v>
      </c>
      <c r="B522" s="1" t="s">
        <v>53</v>
      </c>
      <c r="C522" s="1" t="s">
        <v>33</v>
      </c>
      <c r="D522" s="1">
        <v>2026</v>
      </c>
      <c r="E522" s="1" t="s">
        <v>22</v>
      </c>
      <c r="F522" s="1">
        <v>124775541</v>
      </c>
      <c r="G522" s="1">
        <v>62736437</v>
      </c>
      <c r="H522" s="1">
        <v>62039104</v>
      </c>
      <c r="I522" s="1">
        <v>9690641</v>
      </c>
      <c r="J522" s="1">
        <v>668456</v>
      </c>
      <c r="K522" s="1">
        <v>7.77</v>
      </c>
      <c r="L522" s="1">
        <v>26.74</v>
      </c>
      <c r="M522" s="1">
        <v>25.76</v>
      </c>
      <c r="N522" s="1">
        <v>5.98</v>
      </c>
      <c r="O522" s="1">
        <v>29.88</v>
      </c>
      <c r="P522" s="1">
        <v>37.130000000000003</v>
      </c>
      <c r="Q522" s="1">
        <v>8977.1</v>
      </c>
      <c r="R522" s="1">
        <v>75</v>
      </c>
      <c r="S522" s="1">
        <v>73.599999999999994</v>
      </c>
    </row>
    <row r="523" spans="1:19" ht="15">
      <c r="A523" s="1">
        <v>29</v>
      </c>
      <c r="B523" s="1" t="s">
        <v>53</v>
      </c>
      <c r="C523" s="1" t="s">
        <v>33</v>
      </c>
      <c r="D523" s="1">
        <v>2026</v>
      </c>
      <c r="E523" s="1" t="s">
        <v>23</v>
      </c>
      <c r="F523" s="1">
        <v>97547860</v>
      </c>
      <c r="G523" s="1">
        <v>50623598</v>
      </c>
      <c r="H523" s="1">
        <v>46924262</v>
      </c>
      <c r="I523" s="1">
        <v>5008594</v>
      </c>
      <c r="J523" s="1">
        <v>185125</v>
      </c>
      <c r="K523" s="1">
        <v>5.13</v>
      </c>
      <c r="L523" s="1">
        <v>11.37</v>
      </c>
      <c r="M523" s="1">
        <v>25.51</v>
      </c>
      <c r="N523" s="1">
        <v>9.82</v>
      </c>
      <c r="O523" s="1">
        <v>38.700000000000003</v>
      </c>
      <c r="P523" s="1">
        <v>30.59</v>
      </c>
      <c r="Q523" s="1">
        <v>6981.78</v>
      </c>
      <c r="R523" s="1">
        <v>42</v>
      </c>
      <c r="S523" s="1">
        <v>60.5</v>
      </c>
    </row>
    <row r="524" spans="1:19" ht="15">
      <c r="A524" s="1">
        <v>30</v>
      </c>
      <c r="B524" s="1" t="s">
        <v>54</v>
      </c>
      <c r="C524" s="1" t="s">
        <v>33</v>
      </c>
      <c r="D524" s="1">
        <v>2021</v>
      </c>
      <c r="E524" s="1" t="s">
        <v>21</v>
      </c>
      <c r="F524" s="1">
        <v>190799046</v>
      </c>
      <c r="G524" s="1">
        <v>95043218</v>
      </c>
      <c r="H524" s="1">
        <v>95755828</v>
      </c>
      <c r="I524" s="1">
        <v>12076077</v>
      </c>
      <c r="J524" s="1">
        <v>664182</v>
      </c>
      <c r="K524" s="1">
        <v>6.33</v>
      </c>
      <c r="L524" s="1">
        <v>28.92</v>
      </c>
      <c r="M524" s="1">
        <v>28.9</v>
      </c>
      <c r="N524" s="1">
        <v>6.04</v>
      </c>
      <c r="O524" s="1">
        <v>31.06</v>
      </c>
      <c r="P524" s="1">
        <v>25.63</v>
      </c>
      <c r="Q524" s="1">
        <v>2313.77</v>
      </c>
      <c r="R524" s="1">
        <v>78</v>
      </c>
      <c r="S524" s="1">
        <v>63.7</v>
      </c>
    </row>
    <row r="525" spans="1:19" ht="15">
      <c r="A525" s="1">
        <v>30</v>
      </c>
      <c r="B525" s="1" t="s">
        <v>54</v>
      </c>
      <c r="C525" s="1" t="s">
        <v>33</v>
      </c>
      <c r="D525" s="1">
        <v>2021</v>
      </c>
      <c r="E525" s="1" t="s">
        <v>22</v>
      </c>
      <c r="F525" s="1">
        <v>133813406</v>
      </c>
      <c r="G525" s="1">
        <v>67994575</v>
      </c>
      <c r="H525" s="1">
        <v>65818831</v>
      </c>
      <c r="I525" s="1">
        <v>10755460</v>
      </c>
      <c r="J525" s="1">
        <v>447744</v>
      </c>
      <c r="K525" s="1">
        <v>8.0399999999999991</v>
      </c>
      <c r="L525" s="1">
        <v>11.34</v>
      </c>
      <c r="M525" s="1">
        <v>25.31</v>
      </c>
      <c r="N525" s="1">
        <v>11.03</v>
      </c>
      <c r="O525" s="1">
        <v>26.38</v>
      </c>
      <c r="P525" s="1">
        <v>21.44</v>
      </c>
      <c r="Q525" s="1">
        <v>9082.2999999999993</v>
      </c>
      <c r="R525" s="1">
        <v>77</v>
      </c>
      <c r="S525" s="1">
        <v>70.400000000000006</v>
      </c>
    </row>
    <row r="526" spans="1:19" ht="15">
      <c r="A526" s="1">
        <v>30</v>
      </c>
      <c r="B526" s="1" t="s">
        <v>54</v>
      </c>
      <c r="C526" s="1" t="s">
        <v>33</v>
      </c>
      <c r="D526" s="1">
        <v>2021</v>
      </c>
      <c r="E526" s="1" t="s">
        <v>23</v>
      </c>
      <c r="F526" s="1">
        <v>112249320</v>
      </c>
      <c r="G526" s="1">
        <v>55905337</v>
      </c>
      <c r="H526" s="1">
        <v>56343983</v>
      </c>
      <c r="I526" s="1">
        <v>10798254</v>
      </c>
      <c r="J526" s="1">
        <v>331776</v>
      </c>
      <c r="K526" s="1">
        <v>9.6199999999999992</v>
      </c>
      <c r="L526" s="1">
        <v>27.76</v>
      </c>
      <c r="M526" s="1">
        <v>20.9</v>
      </c>
      <c r="N526" s="1">
        <v>5.33</v>
      </c>
      <c r="O526" s="1">
        <v>34.049999999999997</v>
      </c>
      <c r="P526" s="1">
        <v>19.010000000000002</v>
      </c>
      <c r="Q526" s="1">
        <v>6007.83</v>
      </c>
      <c r="R526" s="1">
        <v>47</v>
      </c>
      <c r="S526" s="1">
        <v>81.400000000000006</v>
      </c>
    </row>
    <row r="527" spans="1:19" ht="15">
      <c r="A527" s="1">
        <v>30</v>
      </c>
      <c r="B527" s="1" t="s">
        <v>54</v>
      </c>
      <c r="C527" s="1" t="s">
        <v>33</v>
      </c>
      <c r="D527" s="1">
        <v>2022</v>
      </c>
      <c r="E527" s="1" t="s">
        <v>21</v>
      </c>
      <c r="F527" s="1">
        <v>85964402</v>
      </c>
      <c r="G527" s="1">
        <v>43622425</v>
      </c>
      <c r="H527" s="1">
        <v>42341977</v>
      </c>
      <c r="I527" s="1">
        <v>8122763</v>
      </c>
      <c r="J527" s="1">
        <v>599195</v>
      </c>
      <c r="K527" s="1">
        <v>9.4499999999999993</v>
      </c>
      <c r="L527" s="1">
        <v>23.55</v>
      </c>
      <c r="M527" s="1">
        <v>32.58</v>
      </c>
      <c r="N527" s="1">
        <v>6.99</v>
      </c>
      <c r="O527" s="1">
        <v>35.69</v>
      </c>
      <c r="P527" s="1">
        <v>31.21</v>
      </c>
      <c r="Q527" s="1">
        <v>11326.79</v>
      </c>
      <c r="R527" s="1">
        <v>52</v>
      </c>
      <c r="S527" s="1">
        <v>76</v>
      </c>
    </row>
    <row r="528" spans="1:19" ht="15">
      <c r="A528" s="1">
        <v>30</v>
      </c>
      <c r="B528" s="1" t="s">
        <v>54</v>
      </c>
      <c r="C528" s="1" t="s">
        <v>33</v>
      </c>
      <c r="D528" s="1">
        <v>2022</v>
      </c>
      <c r="E528" s="1" t="s">
        <v>22</v>
      </c>
      <c r="F528" s="1">
        <v>132612346</v>
      </c>
      <c r="G528" s="1">
        <v>66455113</v>
      </c>
      <c r="H528" s="1">
        <v>66157233</v>
      </c>
      <c r="I528" s="1">
        <v>10981781</v>
      </c>
      <c r="J528" s="1">
        <v>640907</v>
      </c>
      <c r="K528" s="1">
        <v>8.2799999999999994</v>
      </c>
      <c r="L528" s="1">
        <v>13.58</v>
      </c>
      <c r="M528" s="1">
        <v>13.2</v>
      </c>
      <c r="N528" s="1">
        <v>10.43</v>
      </c>
      <c r="O528" s="1">
        <v>31.28</v>
      </c>
      <c r="P528" s="1">
        <v>35.57</v>
      </c>
      <c r="Q528" s="1">
        <v>9579.6200000000008</v>
      </c>
      <c r="R528" s="1">
        <v>61</v>
      </c>
      <c r="S528" s="1">
        <v>75</v>
      </c>
    </row>
    <row r="529" spans="1:19" ht="15">
      <c r="A529" s="1">
        <v>30</v>
      </c>
      <c r="B529" s="1" t="s">
        <v>54</v>
      </c>
      <c r="C529" s="1" t="s">
        <v>33</v>
      </c>
      <c r="D529" s="1">
        <v>2022</v>
      </c>
      <c r="E529" s="1" t="s">
        <v>23</v>
      </c>
      <c r="F529" s="1">
        <v>156720580</v>
      </c>
      <c r="G529" s="1">
        <v>77408872</v>
      </c>
      <c r="H529" s="1">
        <v>79311708</v>
      </c>
      <c r="I529" s="1">
        <v>7856671</v>
      </c>
      <c r="J529" s="1">
        <v>585147</v>
      </c>
      <c r="K529" s="1">
        <v>5.01</v>
      </c>
      <c r="L529" s="1">
        <v>24.35</v>
      </c>
      <c r="M529" s="1">
        <v>33.26</v>
      </c>
      <c r="N529" s="1">
        <v>12.1</v>
      </c>
      <c r="O529" s="1">
        <v>20.21</v>
      </c>
      <c r="P529" s="1">
        <v>17.940000000000001</v>
      </c>
      <c r="Q529" s="1">
        <v>2564.69</v>
      </c>
      <c r="R529" s="1">
        <v>54</v>
      </c>
      <c r="S529" s="1">
        <v>71.5</v>
      </c>
    </row>
    <row r="530" spans="1:19" ht="15">
      <c r="A530" s="1">
        <v>30</v>
      </c>
      <c r="B530" s="1" t="s">
        <v>54</v>
      </c>
      <c r="C530" s="1" t="s">
        <v>33</v>
      </c>
      <c r="D530" s="1">
        <v>2023</v>
      </c>
      <c r="E530" s="1" t="s">
        <v>21</v>
      </c>
      <c r="F530" s="1">
        <v>69474158</v>
      </c>
      <c r="G530" s="1">
        <v>33999535</v>
      </c>
      <c r="H530" s="1">
        <v>35474623</v>
      </c>
      <c r="I530" s="1">
        <v>6936108</v>
      </c>
      <c r="J530" s="1">
        <v>218020</v>
      </c>
      <c r="K530" s="1">
        <v>9.98</v>
      </c>
      <c r="L530" s="1">
        <v>18.66</v>
      </c>
      <c r="M530" s="1">
        <v>19.84</v>
      </c>
      <c r="N530" s="1">
        <v>12.55</v>
      </c>
      <c r="O530" s="1">
        <v>29.01</v>
      </c>
      <c r="P530" s="1">
        <v>17.489999999999998</v>
      </c>
      <c r="Q530" s="1">
        <v>4429.38</v>
      </c>
      <c r="R530" s="1">
        <v>54</v>
      </c>
      <c r="S530" s="1">
        <v>79.8</v>
      </c>
    </row>
    <row r="531" spans="1:19" ht="15">
      <c r="A531" s="1">
        <v>30</v>
      </c>
      <c r="B531" s="1" t="s">
        <v>54</v>
      </c>
      <c r="C531" s="1" t="s">
        <v>33</v>
      </c>
      <c r="D531" s="1">
        <v>2023</v>
      </c>
      <c r="E531" s="1" t="s">
        <v>22</v>
      </c>
      <c r="F531" s="1">
        <v>136477859</v>
      </c>
      <c r="G531" s="1">
        <v>70383455</v>
      </c>
      <c r="H531" s="1">
        <v>66094404</v>
      </c>
      <c r="I531" s="1">
        <v>8626791</v>
      </c>
      <c r="J531" s="1">
        <v>642773</v>
      </c>
      <c r="K531" s="1">
        <v>6.32</v>
      </c>
      <c r="L531" s="1">
        <v>28.46</v>
      </c>
      <c r="M531" s="1">
        <v>21.49</v>
      </c>
      <c r="N531" s="1">
        <v>9.2799999999999994</v>
      </c>
      <c r="O531" s="1">
        <v>27.65</v>
      </c>
      <c r="P531" s="1">
        <v>31.67</v>
      </c>
      <c r="Q531" s="1">
        <v>11768.33</v>
      </c>
      <c r="R531" s="1">
        <v>82</v>
      </c>
      <c r="S531" s="1">
        <v>71.8</v>
      </c>
    </row>
    <row r="532" spans="1:19" ht="15">
      <c r="A532" s="1">
        <v>30</v>
      </c>
      <c r="B532" s="1" t="s">
        <v>54</v>
      </c>
      <c r="C532" s="1" t="s">
        <v>33</v>
      </c>
      <c r="D532" s="1">
        <v>2023</v>
      </c>
      <c r="E532" s="1" t="s">
        <v>23</v>
      </c>
      <c r="F532" s="1">
        <v>141557061</v>
      </c>
      <c r="G532" s="1">
        <v>69618726</v>
      </c>
      <c r="H532" s="1">
        <v>71938335</v>
      </c>
      <c r="I532" s="1">
        <v>13740734</v>
      </c>
      <c r="J532" s="1">
        <v>834359</v>
      </c>
      <c r="K532" s="1">
        <v>9.7100000000000009</v>
      </c>
      <c r="L532" s="1">
        <v>27.08</v>
      </c>
      <c r="M532" s="1">
        <v>23.77</v>
      </c>
      <c r="N532" s="1">
        <v>7.7</v>
      </c>
      <c r="O532" s="1">
        <v>36</v>
      </c>
      <c r="P532" s="1">
        <v>39.35</v>
      </c>
      <c r="Q532" s="1">
        <v>4662.5200000000004</v>
      </c>
      <c r="R532" s="1">
        <v>70</v>
      </c>
      <c r="S532" s="1">
        <v>68.7</v>
      </c>
    </row>
    <row r="533" spans="1:19" ht="15">
      <c r="A533" s="1">
        <v>30</v>
      </c>
      <c r="B533" s="1" t="s">
        <v>54</v>
      </c>
      <c r="C533" s="1" t="s">
        <v>33</v>
      </c>
      <c r="D533" s="1">
        <v>2024</v>
      </c>
      <c r="E533" s="1" t="s">
        <v>21</v>
      </c>
      <c r="F533" s="1">
        <v>156867652</v>
      </c>
      <c r="G533" s="1">
        <v>80319490</v>
      </c>
      <c r="H533" s="1">
        <v>76548162</v>
      </c>
      <c r="I533" s="1">
        <v>9402628</v>
      </c>
      <c r="J533" s="1">
        <v>622273</v>
      </c>
      <c r="K533" s="1">
        <v>5.99</v>
      </c>
      <c r="L533" s="1">
        <v>28.39</v>
      </c>
      <c r="M533" s="1">
        <v>18.22</v>
      </c>
      <c r="N533" s="1">
        <v>5.37</v>
      </c>
      <c r="O533" s="1">
        <v>38.799999999999997</v>
      </c>
      <c r="P533" s="1">
        <v>29.04</v>
      </c>
      <c r="Q533" s="1">
        <v>3264.28</v>
      </c>
      <c r="R533" s="1">
        <v>42</v>
      </c>
      <c r="S533" s="1">
        <v>67.900000000000006</v>
      </c>
    </row>
    <row r="534" spans="1:19" ht="15">
      <c r="A534" s="1">
        <v>30</v>
      </c>
      <c r="B534" s="1" t="s">
        <v>54</v>
      </c>
      <c r="C534" s="1" t="s">
        <v>33</v>
      </c>
      <c r="D534" s="1">
        <v>2024</v>
      </c>
      <c r="E534" s="1" t="s">
        <v>22</v>
      </c>
      <c r="F534" s="1">
        <v>9316263</v>
      </c>
      <c r="G534" s="1">
        <v>4683498</v>
      </c>
      <c r="H534" s="1">
        <v>4632765</v>
      </c>
      <c r="I534" s="1">
        <v>705792</v>
      </c>
      <c r="J534" s="1">
        <v>32294</v>
      </c>
      <c r="K534" s="1">
        <v>7.58</v>
      </c>
      <c r="L534" s="1">
        <v>22.3</v>
      </c>
      <c r="M534" s="1">
        <v>29.29</v>
      </c>
      <c r="N534" s="1">
        <v>9.0500000000000007</v>
      </c>
      <c r="O534" s="1">
        <v>34.51</v>
      </c>
      <c r="P534" s="1">
        <v>38.479999999999997</v>
      </c>
      <c r="Q534" s="1">
        <v>1633.82</v>
      </c>
      <c r="R534" s="1">
        <v>53</v>
      </c>
      <c r="S534" s="1">
        <v>74.599999999999994</v>
      </c>
    </row>
    <row r="535" spans="1:19" ht="15">
      <c r="A535" s="1">
        <v>30</v>
      </c>
      <c r="B535" s="1" t="s">
        <v>54</v>
      </c>
      <c r="C535" s="1" t="s">
        <v>33</v>
      </c>
      <c r="D535" s="1">
        <v>2024</v>
      </c>
      <c r="E535" s="1" t="s">
        <v>23</v>
      </c>
      <c r="F535" s="1">
        <v>42951526</v>
      </c>
      <c r="G535" s="1">
        <v>21863233</v>
      </c>
      <c r="H535" s="1">
        <v>21088293</v>
      </c>
      <c r="I535" s="1">
        <v>4030420</v>
      </c>
      <c r="J535" s="1">
        <v>184738</v>
      </c>
      <c r="K535" s="1">
        <v>9.3800000000000008</v>
      </c>
      <c r="L535" s="1">
        <v>26.41</v>
      </c>
      <c r="M535" s="1">
        <v>34.57</v>
      </c>
      <c r="N535" s="1">
        <v>6.41</v>
      </c>
      <c r="O535" s="1">
        <v>38.81</v>
      </c>
      <c r="P535" s="1">
        <v>36.86</v>
      </c>
      <c r="Q535" s="1">
        <v>4005.77</v>
      </c>
      <c r="R535" s="1">
        <v>44</v>
      </c>
      <c r="S535" s="1">
        <v>74.2</v>
      </c>
    </row>
    <row r="536" spans="1:19" ht="15">
      <c r="A536" s="1">
        <v>30</v>
      </c>
      <c r="B536" s="1" t="s">
        <v>54</v>
      </c>
      <c r="C536" s="1" t="s">
        <v>33</v>
      </c>
      <c r="D536" s="1">
        <v>2025</v>
      </c>
      <c r="E536" s="1" t="s">
        <v>21</v>
      </c>
      <c r="F536" s="1">
        <v>123303334</v>
      </c>
      <c r="G536" s="1">
        <v>59792442</v>
      </c>
      <c r="H536" s="1">
        <v>63510892</v>
      </c>
      <c r="I536" s="1">
        <v>8471298</v>
      </c>
      <c r="J536" s="1">
        <v>397834</v>
      </c>
      <c r="K536" s="1">
        <v>6.87</v>
      </c>
      <c r="L536" s="1">
        <v>25.61</v>
      </c>
      <c r="M536" s="1">
        <v>34.07</v>
      </c>
      <c r="N536" s="1">
        <v>5.5</v>
      </c>
      <c r="O536" s="1">
        <v>36.619999999999997</v>
      </c>
      <c r="P536" s="1">
        <v>29.98</v>
      </c>
      <c r="Q536" s="1">
        <v>8991.49</v>
      </c>
      <c r="R536" s="1">
        <v>76</v>
      </c>
      <c r="S536" s="1">
        <v>77.900000000000006</v>
      </c>
    </row>
    <row r="537" spans="1:19" ht="15">
      <c r="A537" s="1">
        <v>30</v>
      </c>
      <c r="B537" s="1" t="s">
        <v>54</v>
      </c>
      <c r="C537" s="1" t="s">
        <v>33</v>
      </c>
      <c r="D537" s="1">
        <v>2025</v>
      </c>
      <c r="E537" s="1" t="s">
        <v>22</v>
      </c>
      <c r="F537" s="1">
        <v>142962484</v>
      </c>
      <c r="G537" s="1">
        <v>72848897</v>
      </c>
      <c r="H537" s="1">
        <v>70113587</v>
      </c>
      <c r="I537" s="1">
        <v>10066249</v>
      </c>
      <c r="J537" s="1">
        <v>766376</v>
      </c>
      <c r="K537" s="1">
        <v>7.04</v>
      </c>
      <c r="L537" s="1">
        <v>15.57</v>
      </c>
      <c r="M537" s="1">
        <v>31.13</v>
      </c>
      <c r="N537" s="1">
        <v>11.11</v>
      </c>
      <c r="O537" s="1">
        <v>21.5</v>
      </c>
      <c r="P537" s="1">
        <v>28.7</v>
      </c>
      <c r="Q537" s="1">
        <v>2236.17</v>
      </c>
      <c r="R537" s="1">
        <v>81</v>
      </c>
      <c r="S537" s="1">
        <v>75.2</v>
      </c>
    </row>
    <row r="538" spans="1:19" ht="15">
      <c r="A538" s="1">
        <v>30</v>
      </c>
      <c r="B538" s="1" t="s">
        <v>54</v>
      </c>
      <c r="C538" s="1" t="s">
        <v>33</v>
      </c>
      <c r="D538" s="1">
        <v>2025</v>
      </c>
      <c r="E538" s="1" t="s">
        <v>23</v>
      </c>
      <c r="F538" s="1">
        <v>163416812</v>
      </c>
      <c r="G538" s="1">
        <v>83003874</v>
      </c>
      <c r="H538" s="1">
        <v>80412938</v>
      </c>
      <c r="I538" s="1">
        <v>15569427</v>
      </c>
      <c r="J538" s="1">
        <v>1191843</v>
      </c>
      <c r="K538" s="1">
        <v>9.5299999999999994</v>
      </c>
      <c r="L538" s="1">
        <v>25.15</v>
      </c>
      <c r="M538" s="1">
        <v>32.92</v>
      </c>
      <c r="N538" s="1">
        <v>14.63</v>
      </c>
      <c r="O538" s="1">
        <v>36.68</v>
      </c>
      <c r="P538" s="1">
        <v>17.07</v>
      </c>
      <c r="Q538" s="1">
        <v>3237.06</v>
      </c>
      <c r="R538" s="1">
        <v>77</v>
      </c>
      <c r="S538" s="1">
        <v>66.900000000000006</v>
      </c>
    </row>
    <row r="539" spans="1:19" ht="15">
      <c r="A539" s="1">
        <v>30</v>
      </c>
      <c r="B539" s="1" t="s">
        <v>54</v>
      </c>
      <c r="C539" s="1" t="s">
        <v>33</v>
      </c>
      <c r="D539" s="1">
        <v>2026</v>
      </c>
      <c r="E539" s="1" t="s">
        <v>21</v>
      </c>
      <c r="F539" s="1">
        <v>159393936</v>
      </c>
      <c r="G539" s="1">
        <v>81030688</v>
      </c>
      <c r="H539" s="1">
        <v>78363248</v>
      </c>
      <c r="I539" s="1">
        <v>10893644</v>
      </c>
      <c r="J539" s="1">
        <v>662548</v>
      </c>
      <c r="K539" s="1">
        <v>6.83</v>
      </c>
      <c r="L539" s="1">
        <v>29.93</v>
      </c>
      <c r="M539" s="1">
        <v>29.9</v>
      </c>
      <c r="N539" s="1">
        <v>8.75</v>
      </c>
      <c r="O539" s="1">
        <v>21.18</v>
      </c>
      <c r="P539" s="1">
        <v>32.35</v>
      </c>
      <c r="Q539" s="1">
        <v>6116.51</v>
      </c>
      <c r="R539" s="1">
        <v>42</v>
      </c>
      <c r="S539" s="1">
        <v>78.2</v>
      </c>
    </row>
    <row r="540" spans="1:19" ht="15">
      <c r="A540" s="1">
        <v>30</v>
      </c>
      <c r="B540" s="1" t="s">
        <v>54</v>
      </c>
      <c r="C540" s="1" t="s">
        <v>33</v>
      </c>
      <c r="D540" s="1">
        <v>2026</v>
      </c>
      <c r="E540" s="1" t="s">
        <v>22</v>
      </c>
      <c r="F540" s="1">
        <v>189366899</v>
      </c>
      <c r="G540" s="1">
        <v>95542564</v>
      </c>
      <c r="H540" s="1">
        <v>93824335</v>
      </c>
      <c r="I540" s="1">
        <v>14923924</v>
      </c>
      <c r="J540" s="1">
        <v>954349</v>
      </c>
      <c r="K540" s="1">
        <v>7.88</v>
      </c>
      <c r="L540" s="1">
        <v>22.55</v>
      </c>
      <c r="M540" s="1">
        <v>15.56</v>
      </c>
      <c r="N540" s="1">
        <v>13.39</v>
      </c>
      <c r="O540" s="1">
        <v>26.14</v>
      </c>
      <c r="P540" s="1">
        <v>19.61</v>
      </c>
      <c r="Q540" s="1">
        <v>4603.82</v>
      </c>
      <c r="R540" s="1">
        <v>69</v>
      </c>
      <c r="S540" s="1">
        <v>69</v>
      </c>
    </row>
    <row r="541" spans="1:19" ht="15">
      <c r="A541" s="1">
        <v>30</v>
      </c>
      <c r="B541" s="1" t="s">
        <v>54</v>
      </c>
      <c r="C541" s="1" t="s">
        <v>33</v>
      </c>
      <c r="D541" s="1">
        <v>2026</v>
      </c>
      <c r="E541" s="1" t="s">
        <v>23</v>
      </c>
      <c r="F541" s="1">
        <v>112159303</v>
      </c>
      <c r="G541" s="1">
        <v>54179325</v>
      </c>
      <c r="H541" s="1">
        <v>57979978</v>
      </c>
      <c r="I541" s="1">
        <v>8876483</v>
      </c>
      <c r="J541" s="1">
        <v>596628</v>
      </c>
      <c r="K541" s="1">
        <v>7.91</v>
      </c>
      <c r="L541" s="1">
        <v>28.25</v>
      </c>
      <c r="M541" s="1">
        <v>10.56</v>
      </c>
      <c r="N541" s="1">
        <v>7.95</v>
      </c>
      <c r="O541" s="1">
        <v>24.19</v>
      </c>
      <c r="P541" s="1">
        <v>26.42</v>
      </c>
      <c r="Q541" s="1">
        <v>2008.93</v>
      </c>
      <c r="R541" s="1">
        <v>49</v>
      </c>
      <c r="S541" s="1">
        <v>75.099999999999994</v>
      </c>
    </row>
    <row r="542" spans="1:19" ht="15">
      <c r="A542" s="1">
        <v>31</v>
      </c>
      <c r="B542" s="1" t="s">
        <v>55</v>
      </c>
      <c r="C542" s="1" t="s">
        <v>56</v>
      </c>
      <c r="D542" s="1">
        <v>2021</v>
      </c>
      <c r="E542" s="1" t="s">
        <v>21</v>
      </c>
      <c r="F542" s="1">
        <v>87257578</v>
      </c>
      <c r="G542" s="1">
        <v>42530924</v>
      </c>
      <c r="H542" s="1">
        <v>44726654</v>
      </c>
      <c r="I542" s="1">
        <v>7723794</v>
      </c>
      <c r="J542" s="1">
        <v>258396</v>
      </c>
      <c r="K542" s="1">
        <v>8.85</v>
      </c>
      <c r="L542" s="1">
        <v>19.440000000000001</v>
      </c>
      <c r="M542" s="1">
        <v>25.78</v>
      </c>
      <c r="N542" s="1">
        <v>14.12</v>
      </c>
      <c r="O542" s="1">
        <v>27.1</v>
      </c>
      <c r="P542" s="1">
        <v>16.61</v>
      </c>
      <c r="Q542" s="1">
        <v>9851.07</v>
      </c>
      <c r="R542" s="1">
        <v>49</v>
      </c>
      <c r="S542" s="1">
        <v>70.099999999999994</v>
      </c>
    </row>
    <row r="543" spans="1:19" ht="15">
      <c r="A543" s="1">
        <v>31</v>
      </c>
      <c r="B543" s="1" t="s">
        <v>55</v>
      </c>
      <c r="C543" s="1" t="s">
        <v>56</v>
      </c>
      <c r="D543" s="1">
        <v>2021</v>
      </c>
      <c r="E543" s="1" t="s">
        <v>22</v>
      </c>
      <c r="F543" s="1">
        <v>175946250</v>
      </c>
      <c r="G543" s="1">
        <v>90089925</v>
      </c>
      <c r="H543" s="1">
        <v>85856325</v>
      </c>
      <c r="I543" s="1">
        <v>16722476</v>
      </c>
      <c r="J543" s="1">
        <v>608502</v>
      </c>
      <c r="K543" s="1">
        <v>9.5</v>
      </c>
      <c r="L543" s="1">
        <v>27.62</v>
      </c>
      <c r="M543" s="1">
        <v>10.25</v>
      </c>
      <c r="N543" s="1">
        <v>9.01</v>
      </c>
      <c r="O543" s="1">
        <v>28.65</v>
      </c>
      <c r="P543" s="1">
        <v>34.58</v>
      </c>
      <c r="Q543" s="1">
        <v>10868.75</v>
      </c>
      <c r="R543" s="1">
        <v>62</v>
      </c>
      <c r="S543" s="1">
        <v>75.099999999999994</v>
      </c>
    </row>
    <row r="544" spans="1:19" ht="15">
      <c r="A544" s="1">
        <v>31</v>
      </c>
      <c r="B544" s="1" t="s">
        <v>55</v>
      </c>
      <c r="C544" s="1" t="s">
        <v>56</v>
      </c>
      <c r="D544" s="1">
        <v>2021</v>
      </c>
      <c r="E544" s="1" t="s">
        <v>23</v>
      </c>
      <c r="F544" s="1">
        <v>188599914</v>
      </c>
      <c r="G544" s="1">
        <v>97379386</v>
      </c>
      <c r="H544" s="1">
        <v>91220528</v>
      </c>
      <c r="I544" s="1">
        <v>16976011</v>
      </c>
      <c r="J544" s="1">
        <v>577103</v>
      </c>
      <c r="K544" s="1">
        <v>9</v>
      </c>
      <c r="L544" s="1">
        <v>27.2</v>
      </c>
      <c r="M544" s="1">
        <v>18.05</v>
      </c>
      <c r="N544" s="1">
        <v>10.039999999999999</v>
      </c>
      <c r="O544" s="1">
        <v>21.55</v>
      </c>
      <c r="P544" s="1">
        <v>32.76</v>
      </c>
      <c r="Q544" s="1">
        <v>7125.56</v>
      </c>
      <c r="R544" s="1">
        <v>67</v>
      </c>
      <c r="S544" s="1">
        <v>75.599999999999994</v>
      </c>
    </row>
    <row r="545" spans="1:19" ht="15">
      <c r="A545" s="1">
        <v>31</v>
      </c>
      <c r="B545" s="1" t="s">
        <v>55</v>
      </c>
      <c r="C545" s="1" t="s">
        <v>56</v>
      </c>
      <c r="D545" s="1">
        <v>2022</v>
      </c>
      <c r="E545" s="1" t="s">
        <v>21</v>
      </c>
      <c r="F545" s="1">
        <v>116403856</v>
      </c>
      <c r="G545" s="1">
        <v>58064583</v>
      </c>
      <c r="H545" s="1">
        <v>58339273</v>
      </c>
      <c r="I545" s="1">
        <v>6969662</v>
      </c>
      <c r="J545" s="1">
        <v>331602</v>
      </c>
      <c r="K545" s="1">
        <v>5.99</v>
      </c>
      <c r="L545" s="1">
        <v>15.4</v>
      </c>
      <c r="M545" s="1">
        <v>15.3</v>
      </c>
      <c r="N545" s="1">
        <v>6.31</v>
      </c>
      <c r="O545" s="1">
        <v>25.52</v>
      </c>
      <c r="P545" s="1">
        <v>23.02</v>
      </c>
      <c r="Q545" s="1">
        <v>8656.17</v>
      </c>
      <c r="R545" s="1">
        <v>65</v>
      </c>
      <c r="S545" s="1">
        <v>65.7</v>
      </c>
    </row>
    <row r="546" spans="1:19" ht="15">
      <c r="A546" s="1">
        <v>31</v>
      </c>
      <c r="B546" s="1" t="s">
        <v>55</v>
      </c>
      <c r="C546" s="1" t="s">
        <v>56</v>
      </c>
      <c r="D546" s="1">
        <v>2022</v>
      </c>
      <c r="E546" s="1" t="s">
        <v>22</v>
      </c>
      <c r="F546" s="1">
        <v>182366931</v>
      </c>
      <c r="G546" s="1">
        <v>91680203</v>
      </c>
      <c r="H546" s="1">
        <v>90686728</v>
      </c>
      <c r="I546" s="1">
        <v>15740285</v>
      </c>
      <c r="J546" s="1">
        <v>671298</v>
      </c>
      <c r="K546" s="1">
        <v>8.6300000000000008</v>
      </c>
      <c r="L546" s="1">
        <v>19.760000000000002</v>
      </c>
      <c r="M546" s="1">
        <v>32.380000000000003</v>
      </c>
      <c r="N546" s="1">
        <v>12.47</v>
      </c>
      <c r="O546" s="1">
        <v>27.56</v>
      </c>
      <c r="P546" s="1">
        <v>26.22</v>
      </c>
      <c r="Q546" s="1">
        <v>4945.45</v>
      </c>
      <c r="R546" s="1">
        <v>72</v>
      </c>
      <c r="S546" s="1">
        <v>78.599999999999994</v>
      </c>
    </row>
    <row r="547" spans="1:19" ht="15">
      <c r="A547" s="1">
        <v>31</v>
      </c>
      <c r="B547" s="1" t="s">
        <v>55</v>
      </c>
      <c r="C547" s="1" t="s">
        <v>56</v>
      </c>
      <c r="D547" s="1">
        <v>2022</v>
      </c>
      <c r="E547" s="1" t="s">
        <v>23</v>
      </c>
      <c r="F547" s="1">
        <v>90973283</v>
      </c>
      <c r="G547" s="1">
        <v>44397195</v>
      </c>
      <c r="H547" s="1">
        <v>46576088</v>
      </c>
      <c r="I547" s="1">
        <v>7152335</v>
      </c>
      <c r="J547" s="1">
        <v>348044</v>
      </c>
      <c r="K547" s="1">
        <v>7.86</v>
      </c>
      <c r="L547" s="1">
        <v>23.4</v>
      </c>
      <c r="M547" s="1">
        <v>24.24</v>
      </c>
      <c r="N547" s="1">
        <v>5.15</v>
      </c>
      <c r="O547" s="1">
        <v>35.72</v>
      </c>
      <c r="P547" s="1">
        <v>29.32</v>
      </c>
      <c r="Q547" s="1">
        <v>5398.41</v>
      </c>
      <c r="R547" s="1">
        <v>82</v>
      </c>
      <c r="S547" s="1">
        <v>61.4</v>
      </c>
    </row>
    <row r="548" spans="1:19" ht="15">
      <c r="A548" s="1">
        <v>31</v>
      </c>
      <c r="B548" s="1" t="s">
        <v>55</v>
      </c>
      <c r="C548" s="1" t="s">
        <v>56</v>
      </c>
      <c r="D548" s="1">
        <v>2023</v>
      </c>
      <c r="E548" s="1" t="s">
        <v>21</v>
      </c>
      <c r="F548" s="1">
        <v>11078360</v>
      </c>
      <c r="G548" s="1">
        <v>5700658</v>
      </c>
      <c r="H548" s="1">
        <v>5377702</v>
      </c>
      <c r="I548" s="1">
        <v>880500</v>
      </c>
      <c r="J548" s="1">
        <v>45593</v>
      </c>
      <c r="K548" s="1">
        <v>7.95</v>
      </c>
      <c r="L548" s="1">
        <v>27.55</v>
      </c>
      <c r="M548" s="1">
        <v>21.18</v>
      </c>
      <c r="N548" s="1">
        <v>5.23</v>
      </c>
      <c r="O548" s="1">
        <v>33.42</v>
      </c>
      <c r="P548" s="1">
        <v>28.01</v>
      </c>
      <c r="Q548" s="1">
        <v>7810.46</v>
      </c>
      <c r="R548" s="1">
        <v>75</v>
      </c>
      <c r="S548" s="1">
        <v>64.599999999999994</v>
      </c>
    </row>
    <row r="549" spans="1:19" ht="15">
      <c r="A549" s="1">
        <v>31</v>
      </c>
      <c r="B549" s="1" t="s">
        <v>55</v>
      </c>
      <c r="C549" s="1" t="s">
        <v>56</v>
      </c>
      <c r="D549" s="1">
        <v>2023</v>
      </c>
      <c r="E549" s="1" t="s">
        <v>22</v>
      </c>
      <c r="F549" s="1">
        <v>105051874</v>
      </c>
      <c r="G549" s="1">
        <v>52123907</v>
      </c>
      <c r="H549" s="1">
        <v>52927967</v>
      </c>
      <c r="I549" s="1">
        <v>9266054</v>
      </c>
      <c r="J549" s="1">
        <v>534614</v>
      </c>
      <c r="K549" s="1">
        <v>8.82</v>
      </c>
      <c r="L549" s="1">
        <v>23.27</v>
      </c>
      <c r="M549" s="1">
        <v>29.94</v>
      </c>
      <c r="N549" s="1">
        <v>12.76</v>
      </c>
      <c r="O549" s="1">
        <v>25.73</v>
      </c>
      <c r="P549" s="1">
        <v>22.97</v>
      </c>
      <c r="Q549" s="1">
        <v>4088.69</v>
      </c>
      <c r="R549" s="1">
        <v>61</v>
      </c>
      <c r="S549" s="1">
        <v>76.900000000000006</v>
      </c>
    </row>
    <row r="550" spans="1:19" ht="15">
      <c r="A550" s="1">
        <v>31</v>
      </c>
      <c r="B550" s="1" t="s">
        <v>55</v>
      </c>
      <c r="C550" s="1" t="s">
        <v>56</v>
      </c>
      <c r="D550" s="1">
        <v>2023</v>
      </c>
      <c r="E550" s="1" t="s">
        <v>23</v>
      </c>
      <c r="F550" s="1">
        <v>79215105</v>
      </c>
      <c r="G550" s="1">
        <v>40780221</v>
      </c>
      <c r="H550" s="1">
        <v>38434884</v>
      </c>
      <c r="I550" s="1">
        <v>4435003</v>
      </c>
      <c r="J550" s="1">
        <v>199171</v>
      </c>
      <c r="K550" s="1">
        <v>5.6</v>
      </c>
      <c r="L550" s="1">
        <v>23.45</v>
      </c>
      <c r="M550" s="1">
        <v>23.4</v>
      </c>
      <c r="N550" s="1">
        <v>12.85</v>
      </c>
      <c r="O550" s="1">
        <v>31.84</v>
      </c>
      <c r="P550" s="1">
        <v>37.369999999999997</v>
      </c>
      <c r="Q550" s="1">
        <v>9270.33</v>
      </c>
      <c r="R550" s="1">
        <v>79</v>
      </c>
      <c r="S550" s="1">
        <v>70.099999999999994</v>
      </c>
    </row>
    <row r="551" spans="1:19" ht="15">
      <c r="A551" s="1">
        <v>31</v>
      </c>
      <c r="B551" s="1" t="s">
        <v>55</v>
      </c>
      <c r="C551" s="1" t="s">
        <v>56</v>
      </c>
      <c r="D551" s="1">
        <v>2024</v>
      </c>
      <c r="E551" s="1" t="s">
        <v>21</v>
      </c>
      <c r="F551" s="1">
        <v>90379634</v>
      </c>
      <c r="G551" s="1">
        <v>44122157</v>
      </c>
      <c r="H551" s="1">
        <v>46257477</v>
      </c>
      <c r="I551" s="1">
        <v>8184432</v>
      </c>
      <c r="J551" s="1">
        <v>635341</v>
      </c>
      <c r="K551" s="1">
        <v>9.06</v>
      </c>
      <c r="L551" s="1">
        <v>27.98</v>
      </c>
      <c r="M551" s="1">
        <v>24.19</v>
      </c>
      <c r="N551" s="1">
        <v>13.75</v>
      </c>
      <c r="O551" s="1">
        <v>20.88</v>
      </c>
      <c r="P551" s="1">
        <v>22.95</v>
      </c>
      <c r="Q551" s="1">
        <v>1191.77</v>
      </c>
      <c r="R551" s="1">
        <v>61</v>
      </c>
      <c r="S551" s="1">
        <v>61.8</v>
      </c>
    </row>
    <row r="552" spans="1:19" ht="15">
      <c r="A552" s="1">
        <v>31</v>
      </c>
      <c r="B552" s="1" t="s">
        <v>55</v>
      </c>
      <c r="C552" s="1" t="s">
        <v>56</v>
      </c>
      <c r="D552" s="1">
        <v>2024</v>
      </c>
      <c r="E552" s="1" t="s">
        <v>22</v>
      </c>
      <c r="F552" s="1">
        <v>104590517</v>
      </c>
      <c r="G552" s="1">
        <v>52441737</v>
      </c>
      <c r="H552" s="1">
        <v>52148780</v>
      </c>
      <c r="I552" s="1">
        <v>5905476</v>
      </c>
      <c r="J552" s="1">
        <v>439386</v>
      </c>
      <c r="K552" s="1">
        <v>5.65</v>
      </c>
      <c r="L552" s="1">
        <v>26.6</v>
      </c>
      <c r="M552" s="1">
        <v>19.649999999999999</v>
      </c>
      <c r="N552" s="1">
        <v>11.6</v>
      </c>
      <c r="O552" s="1">
        <v>33.22</v>
      </c>
      <c r="P552" s="1">
        <v>29.57</v>
      </c>
      <c r="Q552" s="1">
        <v>10677.13</v>
      </c>
      <c r="R552" s="1">
        <v>72</v>
      </c>
      <c r="S552" s="1">
        <v>69.900000000000006</v>
      </c>
    </row>
    <row r="553" spans="1:19" ht="15">
      <c r="A553" s="1">
        <v>31</v>
      </c>
      <c r="B553" s="1" t="s">
        <v>55</v>
      </c>
      <c r="C553" s="1" t="s">
        <v>56</v>
      </c>
      <c r="D553" s="1">
        <v>2024</v>
      </c>
      <c r="E553" s="1" t="s">
        <v>23</v>
      </c>
      <c r="F553" s="1">
        <v>131399550</v>
      </c>
      <c r="G553" s="1">
        <v>65025796</v>
      </c>
      <c r="H553" s="1">
        <v>66373754</v>
      </c>
      <c r="I553" s="1">
        <v>7887060</v>
      </c>
      <c r="J553" s="1">
        <v>250226</v>
      </c>
      <c r="K553" s="1">
        <v>6</v>
      </c>
      <c r="L553" s="1">
        <v>15.26</v>
      </c>
      <c r="M553" s="1">
        <v>25.03</v>
      </c>
      <c r="N553" s="1">
        <v>12.4</v>
      </c>
      <c r="O553" s="1">
        <v>20.04</v>
      </c>
      <c r="P553" s="1">
        <v>38.78</v>
      </c>
      <c r="Q553" s="1">
        <v>11012.13</v>
      </c>
      <c r="R553" s="1">
        <v>73</v>
      </c>
      <c r="S553" s="1">
        <v>82.3</v>
      </c>
    </row>
    <row r="554" spans="1:19" ht="15">
      <c r="A554" s="1">
        <v>31</v>
      </c>
      <c r="B554" s="1" t="s">
        <v>55</v>
      </c>
      <c r="C554" s="1" t="s">
        <v>56</v>
      </c>
      <c r="D554" s="1">
        <v>2025</v>
      </c>
      <c r="E554" s="1" t="s">
        <v>21</v>
      </c>
      <c r="F554" s="1">
        <v>127946096</v>
      </c>
      <c r="G554" s="1">
        <v>61688647</v>
      </c>
      <c r="H554" s="1">
        <v>66257449</v>
      </c>
      <c r="I554" s="1">
        <v>7991734</v>
      </c>
      <c r="J554" s="1">
        <v>279307</v>
      </c>
      <c r="K554" s="1">
        <v>6.25</v>
      </c>
      <c r="L554" s="1">
        <v>24.68</v>
      </c>
      <c r="M554" s="1">
        <v>32.4</v>
      </c>
      <c r="N554" s="1">
        <v>14.56</v>
      </c>
      <c r="O554" s="1">
        <v>32.409999999999997</v>
      </c>
      <c r="P554" s="1">
        <v>25.26</v>
      </c>
      <c r="Q554" s="1">
        <v>1880.76</v>
      </c>
      <c r="R554" s="1">
        <v>62</v>
      </c>
      <c r="S554" s="1">
        <v>68.5</v>
      </c>
    </row>
    <row r="555" spans="1:19" ht="15">
      <c r="A555" s="1">
        <v>31</v>
      </c>
      <c r="B555" s="1" t="s">
        <v>55</v>
      </c>
      <c r="C555" s="1" t="s">
        <v>56</v>
      </c>
      <c r="D555" s="1">
        <v>2025</v>
      </c>
      <c r="E555" s="1" t="s">
        <v>22</v>
      </c>
      <c r="F555" s="1">
        <v>39508992</v>
      </c>
      <c r="G555" s="1">
        <v>19325202</v>
      </c>
      <c r="H555" s="1">
        <v>20183790</v>
      </c>
      <c r="I555" s="1">
        <v>3901755</v>
      </c>
      <c r="J555" s="1">
        <v>158098</v>
      </c>
      <c r="K555" s="1">
        <v>9.8800000000000008</v>
      </c>
      <c r="L555" s="1">
        <v>10.78</v>
      </c>
      <c r="M555" s="1">
        <v>13.91</v>
      </c>
      <c r="N555" s="1">
        <v>5.31</v>
      </c>
      <c r="O555" s="1">
        <v>20.57</v>
      </c>
      <c r="P555" s="1">
        <v>18.170000000000002</v>
      </c>
      <c r="Q555" s="1">
        <v>9502.39</v>
      </c>
      <c r="R555" s="1">
        <v>49</v>
      </c>
      <c r="S555" s="1">
        <v>61.7</v>
      </c>
    </row>
    <row r="556" spans="1:19" ht="15">
      <c r="A556" s="1">
        <v>31</v>
      </c>
      <c r="B556" s="1" t="s">
        <v>55</v>
      </c>
      <c r="C556" s="1" t="s">
        <v>56</v>
      </c>
      <c r="D556" s="1">
        <v>2025</v>
      </c>
      <c r="E556" s="1" t="s">
        <v>23</v>
      </c>
      <c r="F556" s="1">
        <v>138437987</v>
      </c>
      <c r="G556" s="1">
        <v>69294933</v>
      </c>
      <c r="H556" s="1">
        <v>69143054</v>
      </c>
      <c r="I556" s="1">
        <v>10765196</v>
      </c>
      <c r="J556" s="1">
        <v>772050</v>
      </c>
      <c r="K556" s="1">
        <v>7.78</v>
      </c>
      <c r="L556" s="1">
        <v>20.98</v>
      </c>
      <c r="M556" s="1">
        <v>34.090000000000003</v>
      </c>
      <c r="N556" s="1">
        <v>14.42</v>
      </c>
      <c r="O556" s="1">
        <v>33.369999999999997</v>
      </c>
      <c r="P556" s="1">
        <v>33.380000000000003</v>
      </c>
      <c r="Q556" s="1">
        <v>9257.84</v>
      </c>
      <c r="R556" s="1">
        <v>54</v>
      </c>
      <c r="S556" s="1">
        <v>73.3</v>
      </c>
    </row>
    <row r="557" spans="1:19" ht="15">
      <c r="A557" s="1">
        <v>31</v>
      </c>
      <c r="B557" s="1" t="s">
        <v>55</v>
      </c>
      <c r="C557" s="1" t="s">
        <v>56</v>
      </c>
      <c r="D557" s="1">
        <v>2026</v>
      </c>
      <c r="E557" s="1" t="s">
        <v>21</v>
      </c>
      <c r="F557" s="1">
        <v>197205626</v>
      </c>
      <c r="G557" s="1">
        <v>95971851</v>
      </c>
      <c r="H557" s="1">
        <v>101233775</v>
      </c>
      <c r="I557" s="1">
        <v>13935514</v>
      </c>
      <c r="J557" s="1">
        <v>825625</v>
      </c>
      <c r="K557" s="1">
        <v>7.07</v>
      </c>
      <c r="L557" s="1">
        <v>15.92</v>
      </c>
      <c r="M557" s="1">
        <v>15.49</v>
      </c>
      <c r="N557" s="1">
        <v>12.29</v>
      </c>
      <c r="O557" s="1">
        <v>38.58</v>
      </c>
      <c r="P557" s="1">
        <v>30.49</v>
      </c>
      <c r="Q557" s="1">
        <v>4935.3900000000003</v>
      </c>
      <c r="R557" s="1">
        <v>61</v>
      </c>
      <c r="S557" s="1">
        <v>76.3</v>
      </c>
    </row>
    <row r="558" spans="1:19" ht="15">
      <c r="A558" s="1">
        <v>31</v>
      </c>
      <c r="B558" s="1" t="s">
        <v>55</v>
      </c>
      <c r="C558" s="1" t="s">
        <v>56</v>
      </c>
      <c r="D558" s="1">
        <v>2026</v>
      </c>
      <c r="E558" s="1" t="s">
        <v>22</v>
      </c>
      <c r="F558" s="1">
        <v>194675747</v>
      </c>
      <c r="G558" s="1">
        <v>101053401</v>
      </c>
      <c r="H558" s="1">
        <v>93622346</v>
      </c>
      <c r="I558" s="1">
        <v>18892078</v>
      </c>
      <c r="J558" s="1">
        <v>1002992</v>
      </c>
      <c r="K558" s="1">
        <v>9.6999999999999993</v>
      </c>
      <c r="L558" s="1">
        <v>21.76</v>
      </c>
      <c r="M558" s="1">
        <v>19.96</v>
      </c>
      <c r="N558" s="1">
        <v>10.15</v>
      </c>
      <c r="O558" s="1">
        <v>32.36</v>
      </c>
      <c r="P558" s="1">
        <v>22.42</v>
      </c>
      <c r="Q558" s="1">
        <v>5410.27</v>
      </c>
      <c r="R558" s="1">
        <v>80</v>
      </c>
      <c r="S558" s="1">
        <v>76.7</v>
      </c>
    </row>
    <row r="559" spans="1:19" ht="15">
      <c r="A559" s="1">
        <v>31</v>
      </c>
      <c r="B559" s="1" t="s">
        <v>55</v>
      </c>
      <c r="C559" s="1" t="s">
        <v>56</v>
      </c>
      <c r="D559" s="1">
        <v>2026</v>
      </c>
      <c r="E559" s="1" t="s">
        <v>23</v>
      </c>
      <c r="F559" s="1">
        <v>166014636</v>
      </c>
      <c r="G559" s="1">
        <v>80723074</v>
      </c>
      <c r="H559" s="1">
        <v>85291562</v>
      </c>
      <c r="I559" s="1">
        <v>9308495</v>
      </c>
      <c r="J559" s="1">
        <v>665881</v>
      </c>
      <c r="K559" s="1">
        <v>5.61</v>
      </c>
      <c r="L559" s="1">
        <v>16.98</v>
      </c>
      <c r="M559" s="1">
        <v>33.22</v>
      </c>
      <c r="N559" s="1">
        <v>8.14</v>
      </c>
      <c r="O559" s="1">
        <v>22.18</v>
      </c>
      <c r="P559" s="1">
        <v>37.44</v>
      </c>
      <c r="Q559" s="1">
        <v>5276.15</v>
      </c>
      <c r="R559" s="1">
        <v>83</v>
      </c>
      <c r="S559" s="1">
        <v>67.400000000000006</v>
      </c>
    </row>
    <row r="560" spans="1:19" ht="15">
      <c r="A560" s="1">
        <v>32</v>
      </c>
      <c r="B560" s="1" t="s">
        <v>57</v>
      </c>
      <c r="C560" s="1" t="s">
        <v>56</v>
      </c>
      <c r="D560" s="1">
        <v>2021</v>
      </c>
      <c r="E560" s="1" t="s">
        <v>21</v>
      </c>
      <c r="F560" s="1">
        <v>124677491</v>
      </c>
      <c r="G560" s="1">
        <v>62948976</v>
      </c>
      <c r="H560" s="1">
        <v>61728515</v>
      </c>
      <c r="I560" s="1">
        <v>10766488</v>
      </c>
      <c r="J560" s="1">
        <v>849319</v>
      </c>
      <c r="K560" s="1">
        <v>8.64</v>
      </c>
      <c r="L560" s="1">
        <v>11.07</v>
      </c>
      <c r="M560" s="1">
        <v>33.61</v>
      </c>
      <c r="N560" s="1">
        <v>10.56</v>
      </c>
      <c r="O560" s="1">
        <v>22.98</v>
      </c>
      <c r="P560" s="1">
        <v>39.17</v>
      </c>
      <c r="Q560" s="1">
        <v>9487.85</v>
      </c>
      <c r="R560" s="1">
        <v>52</v>
      </c>
      <c r="S560" s="1">
        <v>76</v>
      </c>
    </row>
    <row r="561" spans="1:19" ht="15">
      <c r="A561" s="1">
        <v>32</v>
      </c>
      <c r="B561" s="1" t="s">
        <v>57</v>
      </c>
      <c r="C561" s="1" t="s">
        <v>56</v>
      </c>
      <c r="D561" s="1">
        <v>2021</v>
      </c>
      <c r="E561" s="1" t="s">
        <v>22</v>
      </c>
      <c r="F561" s="1">
        <v>40832068</v>
      </c>
      <c r="G561" s="1">
        <v>21029746</v>
      </c>
      <c r="H561" s="1">
        <v>19802322</v>
      </c>
      <c r="I561" s="1">
        <v>2846228</v>
      </c>
      <c r="J561" s="1">
        <v>92861</v>
      </c>
      <c r="K561" s="1">
        <v>6.97</v>
      </c>
      <c r="L561" s="1">
        <v>10.69</v>
      </c>
      <c r="M561" s="1">
        <v>10.79</v>
      </c>
      <c r="N561" s="1">
        <v>14.7</v>
      </c>
      <c r="O561" s="1">
        <v>30.35</v>
      </c>
      <c r="P561" s="1">
        <v>15.69</v>
      </c>
      <c r="Q561" s="1">
        <v>992.65</v>
      </c>
      <c r="R561" s="1">
        <v>66</v>
      </c>
      <c r="S561" s="1">
        <v>77.8</v>
      </c>
    </row>
    <row r="562" spans="1:19" ht="15">
      <c r="A562" s="1">
        <v>32</v>
      </c>
      <c r="B562" s="1" t="s">
        <v>57</v>
      </c>
      <c r="C562" s="1" t="s">
        <v>56</v>
      </c>
      <c r="D562" s="1">
        <v>2021</v>
      </c>
      <c r="E562" s="1" t="s">
        <v>23</v>
      </c>
      <c r="F562" s="1">
        <v>126474050</v>
      </c>
      <c r="G562" s="1">
        <v>65153020</v>
      </c>
      <c r="H562" s="1">
        <v>61321030</v>
      </c>
      <c r="I562" s="1">
        <v>7111594</v>
      </c>
      <c r="J562" s="1">
        <v>387213</v>
      </c>
      <c r="K562" s="1">
        <v>5.62</v>
      </c>
      <c r="L562" s="1">
        <v>15.4</v>
      </c>
      <c r="M562" s="1">
        <v>32.659999999999997</v>
      </c>
      <c r="N562" s="1">
        <v>13.95</v>
      </c>
      <c r="O562" s="1">
        <v>23.25</v>
      </c>
      <c r="P562" s="1">
        <v>39.86</v>
      </c>
      <c r="Q562" s="1">
        <v>6570.11</v>
      </c>
      <c r="R562" s="1">
        <v>75</v>
      </c>
      <c r="S562" s="1">
        <v>63.2</v>
      </c>
    </row>
    <row r="563" spans="1:19" ht="15">
      <c r="A563" s="1">
        <v>32</v>
      </c>
      <c r="B563" s="1" t="s">
        <v>57</v>
      </c>
      <c r="C563" s="1" t="s">
        <v>56</v>
      </c>
      <c r="D563" s="1">
        <v>2022</v>
      </c>
      <c r="E563" s="1" t="s">
        <v>21</v>
      </c>
      <c r="F563" s="1">
        <v>178347669</v>
      </c>
      <c r="G563" s="1">
        <v>87546437</v>
      </c>
      <c r="H563" s="1">
        <v>90801232</v>
      </c>
      <c r="I563" s="1">
        <v>10087730</v>
      </c>
      <c r="J563" s="1">
        <v>503453</v>
      </c>
      <c r="K563" s="1">
        <v>5.66</v>
      </c>
      <c r="L563" s="1">
        <v>22.42</v>
      </c>
      <c r="M563" s="1">
        <v>18.420000000000002</v>
      </c>
      <c r="N563" s="1">
        <v>7.67</v>
      </c>
      <c r="O563" s="1">
        <v>35.729999999999997</v>
      </c>
      <c r="P563" s="1">
        <v>34.119999999999997</v>
      </c>
      <c r="Q563" s="1">
        <v>8198.81</v>
      </c>
      <c r="R563" s="1">
        <v>81</v>
      </c>
      <c r="S563" s="1">
        <v>82.4</v>
      </c>
    </row>
    <row r="564" spans="1:19" ht="15">
      <c r="A564" s="1">
        <v>32</v>
      </c>
      <c r="B564" s="1" t="s">
        <v>57</v>
      </c>
      <c r="C564" s="1" t="s">
        <v>56</v>
      </c>
      <c r="D564" s="1">
        <v>2022</v>
      </c>
      <c r="E564" s="1" t="s">
        <v>22</v>
      </c>
      <c r="F564" s="1">
        <v>129390571</v>
      </c>
      <c r="G564" s="1">
        <v>67060864</v>
      </c>
      <c r="H564" s="1">
        <v>62329707</v>
      </c>
      <c r="I564" s="1">
        <v>10781764</v>
      </c>
      <c r="J564" s="1">
        <v>511616</v>
      </c>
      <c r="K564" s="1">
        <v>8.33</v>
      </c>
      <c r="L564" s="1">
        <v>19.2</v>
      </c>
      <c r="M564" s="1">
        <v>26.83</v>
      </c>
      <c r="N564" s="1">
        <v>13.16</v>
      </c>
      <c r="O564" s="1">
        <v>27.57</v>
      </c>
      <c r="P564" s="1">
        <v>32.700000000000003</v>
      </c>
      <c r="Q564" s="1">
        <v>8776.7900000000009</v>
      </c>
      <c r="R564" s="1">
        <v>43</v>
      </c>
      <c r="S564" s="1">
        <v>74.099999999999994</v>
      </c>
    </row>
    <row r="565" spans="1:19" ht="15">
      <c r="A565" s="1">
        <v>32</v>
      </c>
      <c r="B565" s="1" t="s">
        <v>57</v>
      </c>
      <c r="C565" s="1" t="s">
        <v>56</v>
      </c>
      <c r="D565" s="1">
        <v>2022</v>
      </c>
      <c r="E565" s="1" t="s">
        <v>23</v>
      </c>
      <c r="F565" s="1">
        <v>106818950</v>
      </c>
      <c r="G565" s="1">
        <v>55326570</v>
      </c>
      <c r="H565" s="1">
        <v>51492380</v>
      </c>
      <c r="I565" s="1">
        <v>6637911</v>
      </c>
      <c r="J565" s="1">
        <v>485644</v>
      </c>
      <c r="K565" s="1">
        <v>6.21</v>
      </c>
      <c r="L565" s="1">
        <v>25.45</v>
      </c>
      <c r="M565" s="1">
        <v>13.3</v>
      </c>
      <c r="N565" s="1">
        <v>7.54</v>
      </c>
      <c r="O565" s="1">
        <v>24.9</v>
      </c>
      <c r="P565" s="1">
        <v>27.95</v>
      </c>
      <c r="Q565" s="1">
        <v>4484.6099999999997</v>
      </c>
      <c r="R565" s="1">
        <v>74</v>
      </c>
      <c r="S565" s="1">
        <v>72.8</v>
      </c>
    </row>
    <row r="566" spans="1:19" ht="15">
      <c r="A566" s="1">
        <v>32</v>
      </c>
      <c r="B566" s="1" t="s">
        <v>57</v>
      </c>
      <c r="C566" s="1" t="s">
        <v>56</v>
      </c>
      <c r="D566" s="1">
        <v>2023</v>
      </c>
      <c r="E566" s="1" t="s">
        <v>21</v>
      </c>
      <c r="F566" s="1">
        <v>110478413</v>
      </c>
      <c r="G566" s="1">
        <v>57407881</v>
      </c>
      <c r="H566" s="1">
        <v>53070532</v>
      </c>
      <c r="I566" s="1">
        <v>8289355</v>
      </c>
      <c r="J566" s="1">
        <v>624615</v>
      </c>
      <c r="K566" s="1">
        <v>7.5</v>
      </c>
      <c r="L566" s="1">
        <v>29.01</v>
      </c>
      <c r="M566" s="1">
        <v>31.45</v>
      </c>
      <c r="N566" s="1">
        <v>13.06</v>
      </c>
      <c r="O566" s="1">
        <v>35.67</v>
      </c>
      <c r="P566" s="1">
        <v>24.78</v>
      </c>
      <c r="Q566" s="1">
        <v>9223.6299999999992</v>
      </c>
      <c r="R566" s="1">
        <v>68</v>
      </c>
      <c r="S566" s="1">
        <v>70.3</v>
      </c>
    </row>
    <row r="567" spans="1:19" ht="15">
      <c r="A567" s="1">
        <v>32</v>
      </c>
      <c r="B567" s="1" t="s">
        <v>57</v>
      </c>
      <c r="C567" s="1" t="s">
        <v>56</v>
      </c>
      <c r="D567" s="1">
        <v>2023</v>
      </c>
      <c r="E567" s="1" t="s">
        <v>22</v>
      </c>
      <c r="F567" s="1">
        <v>166919657</v>
      </c>
      <c r="G567" s="1">
        <v>84818323</v>
      </c>
      <c r="H567" s="1">
        <v>82101334</v>
      </c>
      <c r="I567" s="1">
        <v>10303922</v>
      </c>
      <c r="J567" s="1">
        <v>381245</v>
      </c>
      <c r="K567" s="1">
        <v>6.17</v>
      </c>
      <c r="L567" s="1">
        <v>29.22</v>
      </c>
      <c r="M567" s="1">
        <v>23.96</v>
      </c>
      <c r="N567" s="1">
        <v>13.23</v>
      </c>
      <c r="O567" s="1">
        <v>39.03</v>
      </c>
      <c r="P567" s="1">
        <v>32.299999999999997</v>
      </c>
      <c r="Q567" s="1">
        <v>9329.2199999999993</v>
      </c>
      <c r="R567" s="1">
        <v>57</v>
      </c>
      <c r="S567" s="1">
        <v>76.7</v>
      </c>
    </row>
    <row r="568" spans="1:19" ht="15">
      <c r="A568" s="1">
        <v>32</v>
      </c>
      <c r="B568" s="1" t="s">
        <v>57</v>
      </c>
      <c r="C568" s="1" t="s">
        <v>56</v>
      </c>
      <c r="D568" s="1">
        <v>2023</v>
      </c>
      <c r="E568" s="1" t="s">
        <v>23</v>
      </c>
      <c r="F568" s="1">
        <v>50990948</v>
      </c>
      <c r="G568" s="1">
        <v>26269932</v>
      </c>
      <c r="H568" s="1">
        <v>24721016</v>
      </c>
      <c r="I568" s="1">
        <v>3150586</v>
      </c>
      <c r="J568" s="1">
        <v>113855</v>
      </c>
      <c r="K568" s="1">
        <v>6.18</v>
      </c>
      <c r="L568" s="1">
        <v>25.53</v>
      </c>
      <c r="M568" s="1">
        <v>10.51</v>
      </c>
      <c r="N568" s="1">
        <v>6.31</v>
      </c>
      <c r="O568" s="1">
        <v>27.01</v>
      </c>
      <c r="P568" s="1">
        <v>20.04</v>
      </c>
      <c r="Q568" s="1">
        <v>11441.68</v>
      </c>
      <c r="R568" s="1">
        <v>71</v>
      </c>
      <c r="S568" s="1">
        <v>66.400000000000006</v>
      </c>
    </row>
    <row r="569" spans="1:19" ht="15">
      <c r="A569" s="1">
        <v>32</v>
      </c>
      <c r="B569" s="1" t="s">
        <v>57</v>
      </c>
      <c r="C569" s="1" t="s">
        <v>56</v>
      </c>
      <c r="D569" s="1">
        <v>2024</v>
      </c>
      <c r="E569" s="1" t="s">
        <v>21</v>
      </c>
      <c r="F569" s="1">
        <v>107316487</v>
      </c>
      <c r="G569" s="1">
        <v>51605947</v>
      </c>
      <c r="H569" s="1">
        <v>55710540</v>
      </c>
      <c r="I569" s="1">
        <v>8324710</v>
      </c>
      <c r="J569" s="1">
        <v>474381</v>
      </c>
      <c r="K569" s="1">
        <v>7.76</v>
      </c>
      <c r="L569" s="1">
        <v>17.05</v>
      </c>
      <c r="M569" s="1">
        <v>22.91</v>
      </c>
      <c r="N569" s="1">
        <v>10.18</v>
      </c>
      <c r="O569" s="1">
        <v>24.02</v>
      </c>
      <c r="P569" s="1">
        <v>37.22</v>
      </c>
      <c r="Q569" s="1">
        <v>5585.91</v>
      </c>
      <c r="R569" s="1">
        <v>76</v>
      </c>
      <c r="S569" s="1">
        <v>63.8</v>
      </c>
    </row>
    <row r="570" spans="1:19" ht="15">
      <c r="A570" s="1">
        <v>32</v>
      </c>
      <c r="B570" s="1" t="s">
        <v>57</v>
      </c>
      <c r="C570" s="1" t="s">
        <v>56</v>
      </c>
      <c r="D570" s="1">
        <v>2024</v>
      </c>
      <c r="E570" s="1" t="s">
        <v>22</v>
      </c>
      <c r="F570" s="1">
        <v>75637277</v>
      </c>
      <c r="G570" s="1">
        <v>37022890</v>
      </c>
      <c r="H570" s="1">
        <v>38614387</v>
      </c>
      <c r="I570" s="1">
        <v>6221330</v>
      </c>
      <c r="J570" s="1">
        <v>278591</v>
      </c>
      <c r="K570" s="1">
        <v>8.23</v>
      </c>
      <c r="L570" s="1">
        <v>14.03</v>
      </c>
      <c r="M570" s="1">
        <v>22.86</v>
      </c>
      <c r="N570" s="1">
        <v>12.46</v>
      </c>
      <c r="O570" s="1">
        <v>24.98</v>
      </c>
      <c r="P570" s="1">
        <v>23.44</v>
      </c>
      <c r="Q570" s="1">
        <v>502.02</v>
      </c>
      <c r="R570" s="1">
        <v>78</v>
      </c>
      <c r="S570" s="1">
        <v>80.400000000000006</v>
      </c>
    </row>
    <row r="571" spans="1:19" ht="15">
      <c r="A571" s="1">
        <v>32</v>
      </c>
      <c r="B571" s="1" t="s">
        <v>57</v>
      </c>
      <c r="C571" s="1" t="s">
        <v>56</v>
      </c>
      <c r="D571" s="1">
        <v>2024</v>
      </c>
      <c r="E571" s="1" t="s">
        <v>23</v>
      </c>
      <c r="F571" s="1">
        <v>96925319</v>
      </c>
      <c r="G571" s="1">
        <v>50039823</v>
      </c>
      <c r="H571" s="1">
        <v>46885496</v>
      </c>
      <c r="I571" s="1">
        <v>8702858</v>
      </c>
      <c r="J571" s="1">
        <v>350802</v>
      </c>
      <c r="K571" s="1">
        <v>8.98</v>
      </c>
      <c r="L571" s="1">
        <v>16.68</v>
      </c>
      <c r="M571" s="1">
        <v>12.06</v>
      </c>
      <c r="N571" s="1">
        <v>10.51</v>
      </c>
      <c r="O571" s="1">
        <v>33.32</v>
      </c>
      <c r="P571" s="1">
        <v>20.67</v>
      </c>
      <c r="Q571" s="1">
        <v>10995.7</v>
      </c>
      <c r="R571" s="1">
        <v>66</v>
      </c>
      <c r="S571" s="1">
        <v>65.900000000000006</v>
      </c>
    </row>
    <row r="572" spans="1:19" ht="15">
      <c r="A572" s="1">
        <v>32</v>
      </c>
      <c r="B572" s="1" t="s">
        <v>57</v>
      </c>
      <c r="C572" s="1" t="s">
        <v>56</v>
      </c>
      <c r="D572" s="1">
        <v>2025</v>
      </c>
      <c r="E572" s="1" t="s">
        <v>21</v>
      </c>
      <c r="F572" s="1">
        <v>112481624</v>
      </c>
      <c r="G572" s="1">
        <v>55426396</v>
      </c>
      <c r="H572" s="1">
        <v>57055228</v>
      </c>
      <c r="I572" s="1">
        <v>9418252</v>
      </c>
      <c r="J572" s="1">
        <v>460456</v>
      </c>
      <c r="K572" s="1">
        <v>8.3699999999999992</v>
      </c>
      <c r="L572" s="1">
        <v>13.37</v>
      </c>
      <c r="M572" s="1">
        <v>21.79</v>
      </c>
      <c r="N572" s="1">
        <v>7.11</v>
      </c>
      <c r="O572" s="1">
        <v>33.65</v>
      </c>
      <c r="P572" s="1">
        <v>25.62</v>
      </c>
      <c r="Q572" s="1">
        <v>3537</v>
      </c>
      <c r="R572" s="1">
        <v>72</v>
      </c>
      <c r="S572" s="1">
        <v>62.7</v>
      </c>
    </row>
    <row r="573" spans="1:19" ht="15">
      <c r="A573" s="1">
        <v>32</v>
      </c>
      <c r="B573" s="1" t="s">
        <v>57</v>
      </c>
      <c r="C573" s="1" t="s">
        <v>56</v>
      </c>
      <c r="D573" s="1">
        <v>2025</v>
      </c>
      <c r="E573" s="1" t="s">
        <v>22</v>
      </c>
      <c r="F573" s="1">
        <v>31503118</v>
      </c>
      <c r="G573" s="1">
        <v>15293318</v>
      </c>
      <c r="H573" s="1">
        <v>16209800</v>
      </c>
      <c r="I573" s="1">
        <v>2158831</v>
      </c>
      <c r="J573" s="1">
        <v>106614</v>
      </c>
      <c r="K573" s="1">
        <v>6.85</v>
      </c>
      <c r="L573" s="1">
        <v>25.59</v>
      </c>
      <c r="M573" s="1">
        <v>18.440000000000001</v>
      </c>
      <c r="N573" s="1">
        <v>5.27</v>
      </c>
      <c r="O573" s="1">
        <v>25.75</v>
      </c>
      <c r="P573" s="1">
        <v>16.7</v>
      </c>
      <c r="Q573" s="1">
        <v>4340.5200000000004</v>
      </c>
      <c r="R573" s="1">
        <v>50</v>
      </c>
      <c r="S573" s="1">
        <v>66.400000000000006</v>
      </c>
    </row>
    <row r="574" spans="1:19" ht="15">
      <c r="A574" s="1">
        <v>32</v>
      </c>
      <c r="B574" s="1" t="s">
        <v>57</v>
      </c>
      <c r="C574" s="1" t="s">
        <v>56</v>
      </c>
      <c r="D574" s="1">
        <v>2025</v>
      </c>
      <c r="E574" s="1" t="s">
        <v>23</v>
      </c>
      <c r="F574" s="1">
        <v>100508533</v>
      </c>
      <c r="G574" s="1">
        <v>48620963</v>
      </c>
      <c r="H574" s="1">
        <v>51887570</v>
      </c>
      <c r="I574" s="1">
        <v>8003960</v>
      </c>
      <c r="J574" s="1">
        <v>564482</v>
      </c>
      <c r="K574" s="1">
        <v>7.96</v>
      </c>
      <c r="L574" s="1">
        <v>26.14</v>
      </c>
      <c r="M574" s="1">
        <v>19.77</v>
      </c>
      <c r="N574" s="1">
        <v>9.5299999999999994</v>
      </c>
      <c r="O574" s="1">
        <v>36.659999999999997</v>
      </c>
      <c r="P574" s="1">
        <v>29.37</v>
      </c>
      <c r="Q574" s="1">
        <v>3917.14</v>
      </c>
      <c r="R574" s="1">
        <v>41</v>
      </c>
      <c r="S574" s="1">
        <v>82.4</v>
      </c>
    </row>
    <row r="575" spans="1:19" ht="15">
      <c r="A575" s="1">
        <v>32</v>
      </c>
      <c r="B575" s="1" t="s">
        <v>57</v>
      </c>
      <c r="C575" s="1" t="s">
        <v>56</v>
      </c>
      <c r="D575" s="1">
        <v>2026</v>
      </c>
      <c r="E575" s="1" t="s">
        <v>21</v>
      </c>
      <c r="F575" s="1">
        <v>172196385</v>
      </c>
      <c r="G575" s="1">
        <v>88253173</v>
      </c>
      <c r="H575" s="1">
        <v>83943212</v>
      </c>
      <c r="I575" s="1">
        <v>14162474</v>
      </c>
      <c r="J575" s="1">
        <v>1068509</v>
      </c>
      <c r="K575" s="1">
        <v>8.2200000000000006</v>
      </c>
      <c r="L575" s="1">
        <v>27.85</v>
      </c>
      <c r="M575" s="1">
        <v>20.02</v>
      </c>
      <c r="N575" s="1">
        <v>13.92</v>
      </c>
      <c r="O575" s="1">
        <v>33.93</v>
      </c>
      <c r="P575" s="1">
        <v>22.92</v>
      </c>
      <c r="Q575" s="1">
        <v>9542.5300000000007</v>
      </c>
      <c r="R575" s="1">
        <v>49</v>
      </c>
      <c r="S575" s="1">
        <v>61.5</v>
      </c>
    </row>
    <row r="576" spans="1:19" ht="15">
      <c r="A576" s="1">
        <v>32</v>
      </c>
      <c r="B576" s="1" t="s">
        <v>57</v>
      </c>
      <c r="C576" s="1" t="s">
        <v>56</v>
      </c>
      <c r="D576" s="1">
        <v>2026</v>
      </c>
      <c r="E576" s="1" t="s">
        <v>22</v>
      </c>
      <c r="F576" s="1">
        <v>56226504</v>
      </c>
      <c r="G576" s="1">
        <v>27317265</v>
      </c>
      <c r="H576" s="1">
        <v>28909239</v>
      </c>
      <c r="I576" s="1">
        <v>2945911</v>
      </c>
      <c r="J576" s="1">
        <v>98181</v>
      </c>
      <c r="K576" s="1">
        <v>5.24</v>
      </c>
      <c r="L576" s="1">
        <v>13.79</v>
      </c>
      <c r="M576" s="1">
        <v>12.86</v>
      </c>
      <c r="N576" s="1">
        <v>9.5399999999999991</v>
      </c>
      <c r="O576" s="1">
        <v>23.05</v>
      </c>
      <c r="P576" s="1">
        <v>34.159999999999997</v>
      </c>
      <c r="Q576" s="1">
        <v>7890.91</v>
      </c>
      <c r="R576" s="1">
        <v>53</v>
      </c>
      <c r="S576" s="1">
        <v>81.400000000000006</v>
      </c>
    </row>
    <row r="577" spans="1:19" ht="15">
      <c r="A577" s="1">
        <v>32</v>
      </c>
      <c r="B577" s="1" t="s">
        <v>57</v>
      </c>
      <c r="C577" s="1" t="s">
        <v>56</v>
      </c>
      <c r="D577" s="1">
        <v>2026</v>
      </c>
      <c r="E577" s="1" t="s">
        <v>23</v>
      </c>
      <c r="F577" s="1">
        <v>52076479</v>
      </c>
      <c r="G577" s="1">
        <v>25189502</v>
      </c>
      <c r="H577" s="1">
        <v>26886977</v>
      </c>
      <c r="I577" s="1">
        <v>3240843</v>
      </c>
      <c r="J577" s="1">
        <v>156983</v>
      </c>
      <c r="K577" s="1">
        <v>6.22</v>
      </c>
      <c r="L577" s="1">
        <v>27.96</v>
      </c>
      <c r="M577" s="1">
        <v>24.01</v>
      </c>
      <c r="N577" s="1">
        <v>11.9</v>
      </c>
      <c r="O577" s="1">
        <v>33.33</v>
      </c>
      <c r="P577" s="1">
        <v>37.06</v>
      </c>
      <c r="Q577" s="1">
        <v>3707.2</v>
      </c>
      <c r="R577" s="1">
        <v>55</v>
      </c>
      <c r="S577" s="1">
        <v>61</v>
      </c>
    </row>
    <row r="578" spans="1:19" ht="15">
      <c r="A578" s="1">
        <v>33</v>
      </c>
      <c r="B578" s="1" t="s">
        <v>58</v>
      </c>
      <c r="C578" s="1" t="s">
        <v>56</v>
      </c>
      <c r="D578" s="1">
        <v>2021</v>
      </c>
      <c r="E578" s="1" t="s">
        <v>21</v>
      </c>
      <c r="F578" s="1">
        <v>156737336</v>
      </c>
      <c r="G578" s="1">
        <v>76640417</v>
      </c>
      <c r="H578" s="1">
        <v>80096919</v>
      </c>
      <c r="I578" s="1">
        <v>11061247</v>
      </c>
      <c r="J578" s="1">
        <v>517176</v>
      </c>
      <c r="K578" s="1">
        <v>7.06</v>
      </c>
      <c r="L578" s="1">
        <v>11.6</v>
      </c>
      <c r="M578" s="1">
        <v>33.31</v>
      </c>
      <c r="N578" s="1">
        <v>12.21</v>
      </c>
      <c r="O578" s="1">
        <v>28.46</v>
      </c>
      <c r="P578" s="1">
        <v>22.48</v>
      </c>
      <c r="Q578" s="1">
        <v>1511.26</v>
      </c>
      <c r="R578" s="1">
        <v>44</v>
      </c>
      <c r="S578" s="1">
        <v>66</v>
      </c>
    </row>
    <row r="579" spans="1:19" ht="15">
      <c r="A579" s="1">
        <v>33</v>
      </c>
      <c r="B579" s="1" t="s">
        <v>58</v>
      </c>
      <c r="C579" s="1" t="s">
        <v>56</v>
      </c>
      <c r="D579" s="1">
        <v>2021</v>
      </c>
      <c r="E579" s="1" t="s">
        <v>22</v>
      </c>
      <c r="F579" s="1">
        <v>165820207</v>
      </c>
      <c r="G579" s="1">
        <v>85868333</v>
      </c>
      <c r="H579" s="1">
        <v>79951874</v>
      </c>
      <c r="I579" s="1">
        <v>10591557</v>
      </c>
      <c r="J579" s="1">
        <v>839834</v>
      </c>
      <c r="K579" s="1">
        <v>6.39</v>
      </c>
      <c r="L579" s="1">
        <v>26.59</v>
      </c>
      <c r="M579" s="1">
        <v>27.7</v>
      </c>
      <c r="N579" s="1">
        <v>14.84</v>
      </c>
      <c r="O579" s="1">
        <v>29.61</v>
      </c>
      <c r="P579" s="1">
        <v>23.76</v>
      </c>
      <c r="Q579" s="1">
        <v>1583.37</v>
      </c>
      <c r="R579" s="1">
        <v>50</v>
      </c>
      <c r="S579" s="1">
        <v>62.9</v>
      </c>
    </row>
    <row r="580" spans="1:19" ht="15">
      <c r="A580" s="1">
        <v>33</v>
      </c>
      <c r="B580" s="1" t="s">
        <v>58</v>
      </c>
      <c r="C580" s="1" t="s">
        <v>56</v>
      </c>
      <c r="D580" s="1">
        <v>2021</v>
      </c>
      <c r="E580" s="1" t="s">
        <v>23</v>
      </c>
      <c r="F580" s="1">
        <v>112389680</v>
      </c>
      <c r="G580" s="1">
        <v>56559875</v>
      </c>
      <c r="H580" s="1">
        <v>55829805</v>
      </c>
      <c r="I580" s="1">
        <v>6010678</v>
      </c>
      <c r="J580" s="1">
        <v>225389</v>
      </c>
      <c r="K580" s="1">
        <v>5.35</v>
      </c>
      <c r="L580" s="1">
        <v>16.04</v>
      </c>
      <c r="M580" s="1">
        <v>16.739999999999998</v>
      </c>
      <c r="N580" s="1">
        <v>6.02</v>
      </c>
      <c r="O580" s="1">
        <v>29.88</v>
      </c>
      <c r="P580" s="1">
        <v>24.02</v>
      </c>
      <c r="Q580" s="1">
        <v>5395.8</v>
      </c>
      <c r="R580" s="1">
        <v>43</v>
      </c>
      <c r="S580" s="1">
        <v>75</v>
      </c>
    </row>
    <row r="581" spans="1:19" ht="15">
      <c r="A581" s="1">
        <v>33</v>
      </c>
      <c r="B581" s="1" t="s">
        <v>58</v>
      </c>
      <c r="C581" s="1" t="s">
        <v>56</v>
      </c>
      <c r="D581" s="1">
        <v>2022</v>
      </c>
      <c r="E581" s="1" t="s">
        <v>21</v>
      </c>
      <c r="F581" s="1">
        <v>158515903</v>
      </c>
      <c r="G581" s="1">
        <v>81498132</v>
      </c>
      <c r="H581" s="1">
        <v>77017771</v>
      </c>
      <c r="I581" s="1">
        <v>8710264</v>
      </c>
      <c r="J581" s="1">
        <v>428183</v>
      </c>
      <c r="K581" s="1">
        <v>5.49</v>
      </c>
      <c r="L581" s="1">
        <v>23.82</v>
      </c>
      <c r="M581" s="1">
        <v>25.53</v>
      </c>
      <c r="N581" s="1">
        <v>12.09</v>
      </c>
      <c r="O581" s="1">
        <v>38.93</v>
      </c>
      <c r="P581" s="1">
        <v>25.13</v>
      </c>
      <c r="Q581" s="1">
        <v>5521.32</v>
      </c>
      <c r="R581" s="1">
        <v>51</v>
      </c>
      <c r="S581" s="1">
        <v>81.900000000000006</v>
      </c>
    </row>
    <row r="582" spans="1:19" ht="15">
      <c r="A582" s="1">
        <v>33</v>
      </c>
      <c r="B582" s="1" t="s">
        <v>58</v>
      </c>
      <c r="C582" s="1" t="s">
        <v>56</v>
      </c>
      <c r="D582" s="1">
        <v>2022</v>
      </c>
      <c r="E582" s="1" t="s">
        <v>22</v>
      </c>
      <c r="F582" s="1">
        <v>163648431</v>
      </c>
      <c r="G582" s="1">
        <v>79184615</v>
      </c>
      <c r="H582" s="1">
        <v>84463816</v>
      </c>
      <c r="I582" s="1">
        <v>13916369</v>
      </c>
      <c r="J582" s="1">
        <v>1002206</v>
      </c>
      <c r="K582" s="1">
        <v>8.5</v>
      </c>
      <c r="L582" s="1">
        <v>15.11</v>
      </c>
      <c r="M582" s="1">
        <v>11.46</v>
      </c>
      <c r="N582" s="1">
        <v>11.76</v>
      </c>
      <c r="O582" s="1">
        <v>37.630000000000003</v>
      </c>
      <c r="P582" s="1">
        <v>36.71</v>
      </c>
      <c r="Q582" s="1">
        <v>1893.72</v>
      </c>
      <c r="R582" s="1">
        <v>50</v>
      </c>
      <c r="S582" s="1">
        <v>68.5</v>
      </c>
    </row>
    <row r="583" spans="1:19" ht="15">
      <c r="A583" s="1">
        <v>33</v>
      </c>
      <c r="B583" s="1" t="s">
        <v>58</v>
      </c>
      <c r="C583" s="1" t="s">
        <v>56</v>
      </c>
      <c r="D583" s="1">
        <v>2022</v>
      </c>
      <c r="E583" s="1" t="s">
        <v>23</v>
      </c>
      <c r="F583" s="1">
        <v>45018303</v>
      </c>
      <c r="G583" s="1">
        <v>21745181</v>
      </c>
      <c r="H583" s="1">
        <v>23273122</v>
      </c>
      <c r="I583" s="1">
        <v>2928333</v>
      </c>
      <c r="J583" s="1">
        <v>140657</v>
      </c>
      <c r="K583" s="1">
        <v>6.5</v>
      </c>
      <c r="L583" s="1">
        <v>14.83</v>
      </c>
      <c r="M583" s="1">
        <v>22.06</v>
      </c>
      <c r="N583" s="1">
        <v>10.34</v>
      </c>
      <c r="O583" s="1">
        <v>32.51</v>
      </c>
      <c r="P583" s="1">
        <v>35.74</v>
      </c>
      <c r="Q583" s="1">
        <v>4037.32</v>
      </c>
      <c r="R583" s="1">
        <v>63</v>
      </c>
      <c r="S583" s="1">
        <v>72.8</v>
      </c>
    </row>
    <row r="584" spans="1:19" ht="15">
      <c r="A584" s="1">
        <v>33</v>
      </c>
      <c r="B584" s="1" t="s">
        <v>58</v>
      </c>
      <c r="C584" s="1" t="s">
        <v>56</v>
      </c>
      <c r="D584" s="1">
        <v>2023</v>
      </c>
      <c r="E584" s="1" t="s">
        <v>21</v>
      </c>
      <c r="F584" s="1">
        <v>165462194</v>
      </c>
      <c r="G584" s="1">
        <v>83284161</v>
      </c>
      <c r="H584" s="1">
        <v>82178033</v>
      </c>
      <c r="I584" s="1">
        <v>9323039</v>
      </c>
      <c r="J584" s="1">
        <v>605672</v>
      </c>
      <c r="K584" s="1">
        <v>5.63</v>
      </c>
      <c r="L584" s="1">
        <v>14.11</v>
      </c>
      <c r="M584" s="1">
        <v>21.05</v>
      </c>
      <c r="N584" s="1">
        <v>14.06</v>
      </c>
      <c r="O584" s="1">
        <v>23.9</v>
      </c>
      <c r="P584" s="1">
        <v>18.149999999999999</v>
      </c>
      <c r="Q584" s="1">
        <v>8926.81</v>
      </c>
      <c r="R584" s="1">
        <v>46</v>
      </c>
      <c r="S584" s="1">
        <v>73.599999999999994</v>
      </c>
    </row>
    <row r="585" spans="1:19" ht="15">
      <c r="A585" s="1">
        <v>33</v>
      </c>
      <c r="B585" s="1" t="s">
        <v>58</v>
      </c>
      <c r="C585" s="1" t="s">
        <v>56</v>
      </c>
      <c r="D585" s="1">
        <v>2023</v>
      </c>
      <c r="E585" s="1" t="s">
        <v>22</v>
      </c>
      <c r="F585" s="1">
        <v>100518899</v>
      </c>
      <c r="G585" s="1">
        <v>48858739</v>
      </c>
      <c r="H585" s="1">
        <v>51660160</v>
      </c>
      <c r="I585" s="1">
        <v>9858440</v>
      </c>
      <c r="J585" s="1">
        <v>607158</v>
      </c>
      <c r="K585" s="1">
        <v>9.81</v>
      </c>
      <c r="L585" s="1">
        <v>28.85</v>
      </c>
      <c r="M585" s="1">
        <v>14.7</v>
      </c>
      <c r="N585" s="1">
        <v>13.62</v>
      </c>
      <c r="O585" s="1">
        <v>32.75</v>
      </c>
      <c r="P585" s="1">
        <v>29.25</v>
      </c>
      <c r="Q585" s="1">
        <v>10867.89</v>
      </c>
      <c r="R585" s="1">
        <v>79</v>
      </c>
      <c r="S585" s="1">
        <v>80.5</v>
      </c>
    </row>
    <row r="586" spans="1:19" ht="15">
      <c r="A586" s="1">
        <v>33</v>
      </c>
      <c r="B586" s="1" t="s">
        <v>58</v>
      </c>
      <c r="C586" s="1" t="s">
        <v>56</v>
      </c>
      <c r="D586" s="1">
        <v>2023</v>
      </c>
      <c r="E586" s="1" t="s">
        <v>23</v>
      </c>
      <c r="F586" s="1">
        <v>45565874</v>
      </c>
      <c r="G586" s="1">
        <v>23542079</v>
      </c>
      <c r="H586" s="1">
        <v>22023795</v>
      </c>
      <c r="I586" s="1">
        <v>3240099</v>
      </c>
      <c r="J586" s="1">
        <v>189382</v>
      </c>
      <c r="K586" s="1">
        <v>7.11</v>
      </c>
      <c r="L586" s="1">
        <v>27.86</v>
      </c>
      <c r="M586" s="1">
        <v>14</v>
      </c>
      <c r="N586" s="1">
        <v>5.36</v>
      </c>
      <c r="O586" s="1">
        <v>23.44</v>
      </c>
      <c r="P586" s="1">
        <v>27.05</v>
      </c>
      <c r="Q586" s="1">
        <v>3250.43</v>
      </c>
      <c r="R586" s="1">
        <v>82</v>
      </c>
      <c r="S586" s="1">
        <v>72.599999999999994</v>
      </c>
    </row>
    <row r="587" spans="1:19" ht="15">
      <c r="A587" s="1">
        <v>33</v>
      </c>
      <c r="B587" s="1" t="s">
        <v>58</v>
      </c>
      <c r="C587" s="1" t="s">
        <v>56</v>
      </c>
      <c r="D587" s="1">
        <v>2024</v>
      </c>
      <c r="E587" s="1" t="s">
        <v>21</v>
      </c>
      <c r="F587" s="1">
        <v>175510610</v>
      </c>
      <c r="G587" s="1">
        <v>85939779</v>
      </c>
      <c r="H587" s="1">
        <v>89570831</v>
      </c>
      <c r="I587" s="1">
        <v>11023363</v>
      </c>
      <c r="J587" s="1">
        <v>445970</v>
      </c>
      <c r="K587" s="1">
        <v>6.28</v>
      </c>
      <c r="L587" s="1">
        <v>29.84</v>
      </c>
      <c r="M587" s="1">
        <v>19.239999999999998</v>
      </c>
      <c r="N587" s="1">
        <v>8.18</v>
      </c>
      <c r="O587" s="1">
        <v>20.97</v>
      </c>
      <c r="P587" s="1">
        <v>25.98</v>
      </c>
      <c r="Q587" s="1">
        <v>9093.85</v>
      </c>
      <c r="R587" s="1">
        <v>52</v>
      </c>
      <c r="S587" s="1">
        <v>64.7</v>
      </c>
    </row>
    <row r="588" spans="1:19" ht="15">
      <c r="A588" s="1">
        <v>33</v>
      </c>
      <c r="B588" s="1" t="s">
        <v>58</v>
      </c>
      <c r="C588" s="1" t="s">
        <v>56</v>
      </c>
      <c r="D588" s="1">
        <v>2024</v>
      </c>
      <c r="E588" s="1" t="s">
        <v>22</v>
      </c>
      <c r="F588" s="1">
        <v>152457191</v>
      </c>
      <c r="G588" s="1">
        <v>77593763</v>
      </c>
      <c r="H588" s="1">
        <v>74863428</v>
      </c>
      <c r="I588" s="1">
        <v>13716024</v>
      </c>
      <c r="J588" s="1">
        <v>807336</v>
      </c>
      <c r="K588" s="1">
        <v>9</v>
      </c>
      <c r="L588" s="1">
        <v>26.59</v>
      </c>
      <c r="M588" s="1">
        <v>14.56</v>
      </c>
      <c r="N588" s="1">
        <v>9.9499999999999993</v>
      </c>
      <c r="O588" s="1">
        <v>20.61</v>
      </c>
      <c r="P588" s="1">
        <v>28.9</v>
      </c>
      <c r="Q588" s="1">
        <v>4436.29</v>
      </c>
      <c r="R588" s="1">
        <v>82</v>
      </c>
      <c r="S588" s="1">
        <v>72.900000000000006</v>
      </c>
    </row>
    <row r="589" spans="1:19" ht="15">
      <c r="A589" s="1">
        <v>33</v>
      </c>
      <c r="B589" s="1" t="s">
        <v>58</v>
      </c>
      <c r="C589" s="1" t="s">
        <v>56</v>
      </c>
      <c r="D589" s="1">
        <v>2024</v>
      </c>
      <c r="E589" s="1" t="s">
        <v>23</v>
      </c>
      <c r="F589" s="1">
        <v>46663825</v>
      </c>
      <c r="G589" s="1">
        <v>23165133</v>
      </c>
      <c r="H589" s="1">
        <v>23498692</v>
      </c>
      <c r="I589" s="1">
        <v>3616398</v>
      </c>
      <c r="J589" s="1">
        <v>283696</v>
      </c>
      <c r="K589" s="1">
        <v>7.75</v>
      </c>
      <c r="L589" s="1">
        <v>21.91</v>
      </c>
      <c r="M589" s="1">
        <v>30.72</v>
      </c>
      <c r="N589" s="1">
        <v>11.92</v>
      </c>
      <c r="O589" s="1">
        <v>24.19</v>
      </c>
      <c r="P589" s="1">
        <v>37.799999999999997</v>
      </c>
      <c r="Q589" s="1">
        <v>4603.5</v>
      </c>
      <c r="R589" s="1">
        <v>79</v>
      </c>
      <c r="S589" s="1">
        <v>79.8</v>
      </c>
    </row>
    <row r="590" spans="1:19" ht="15">
      <c r="A590" s="1">
        <v>33</v>
      </c>
      <c r="B590" s="1" t="s">
        <v>58</v>
      </c>
      <c r="C590" s="1" t="s">
        <v>56</v>
      </c>
      <c r="D590" s="1">
        <v>2025</v>
      </c>
      <c r="E590" s="1" t="s">
        <v>21</v>
      </c>
      <c r="F590" s="1">
        <v>89152886</v>
      </c>
      <c r="G590" s="1">
        <v>43616499</v>
      </c>
      <c r="H590" s="1">
        <v>45536387</v>
      </c>
      <c r="I590" s="1">
        <v>7303327</v>
      </c>
      <c r="J590" s="1">
        <v>297587</v>
      </c>
      <c r="K590" s="1">
        <v>8.19</v>
      </c>
      <c r="L590" s="1">
        <v>24.34</v>
      </c>
      <c r="M590" s="1">
        <v>10.96</v>
      </c>
      <c r="N590" s="1">
        <v>11.11</v>
      </c>
      <c r="O590" s="1">
        <v>34.32</v>
      </c>
      <c r="P590" s="1">
        <v>20.3</v>
      </c>
      <c r="Q590" s="1">
        <v>1212.8</v>
      </c>
      <c r="R590" s="1">
        <v>59</v>
      </c>
      <c r="S590" s="1">
        <v>74.3</v>
      </c>
    </row>
    <row r="591" spans="1:19" ht="15">
      <c r="A591" s="1">
        <v>33</v>
      </c>
      <c r="B591" s="1" t="s">
        <v>58</v>
      </c>
      <c r="C591" s="1" t="s">
        <v>56</v>
      </c>
      <c r="D591" s="1">
        <v>2025</v>
      </c>
      <c r="E591" s="1" t="s">
        <v>22</v>
      </c>
      <c r="F591" s="1">
        <v>18568470</v>
      </c>
      <c r="G591" s="1">
        <v>9606729</v>
      </c>
      <c r="H591" s="1">
        <v>8961741</v>
      </c>
      <c r="I591" s="1">
        <v>1138181</v>
      </c>
      <c r="J591" s="1">
        <v>89438</v>
      </c>
      <c r="K591" s="1">
        <v>6.13</v>
      </c>
      <c r="L591" s="1">
        <v>13.61</v>
      </c>
      <c r="M591" s="1">
        <v>22.8</v>
      </c>
      <c r="N591" s="1">
        <v>6.62</v>
      </c>
      <c r="O591" s="1">
        <v>35.69</v>
      </c>
      <c r="P591" s="1">
        <v>38.119999999999997</v>
      </c>
      <c r="Q591" s="1">
        <v>4238.57</v>
      </c>
      <c r="R591" s="1">
        <v>81</v>
      </c>
      <c r="S591" s="1">
        <v>82</v>
      </c>
    </row>
    <row r="592" spans="1:19" ht="15">
      <c r="A592" s="1">
        <v>33</v>
      </c>
      <c r="B592" s="1" t="s">
        <v>58</v>
      </c>
      <c r="C592" s="1" t="s">
        <v>56</v>
      </c>
      <c r="D592" s="1">
        <v>2025</v>
      </c>
      <c r="E592" s="1" t="s">
        <v>23</v>
      </c>
      <c r="F592" s="1">
        <v>149428098</v>
      </c>
      <c r="G592" s="1">
        <v>76177215</v>
      </c>
      <c r="H592" s="1">
        <v>73250883</v>
      </c>
      <c r="I592" s="1">
        <v>13323491</v>
      </c>
      <c r="J592" s="1">
        <v>1034638</v>
      </c>
      <c r="K592" s="1">
        <v>8.92</v>
      </c>
      <c r="L592" s="1">
        <v>23.3</v>
      </c>
      <c r="M592" s="1">
        <v>26.84</v>
      </c>
      <c r="N592" s="1">
        <v>7.61</v>
      </c>
      <c r="O592" s="1">
        <v>38.340000000000003</v>
      </c>
      <c r="P592" s="1">
        <v>34.19</v>
      </c>
      <c r="Q592" s="1">
        <v>11341.7</v>
      </c>
      <c r="R592" s="1">
        <v>69</v>
      </c>
      <c r="S592" s="1">
        <v>74.599999999999994</v>
      </c>
    </row>
    <row r="593" spans="1:19" ht="15">
      <c r="A593" s="1">
        <v>33</v>
      </c>
      <c r="B593" s="1" t="s">
        <v>58</v>
      </c>
      <c r="C593" s="1" t="s">
        <v>56</v>
      </c>
      <c r="D593" s="1">
        <v>2026</v>
      </c>
      <c r="E593" s="1" t="s">
        <v>21</v>
      </c>
      <c r="F593" s="1">
        <v>139150465</v>
      </c>
      <c r="G593" s="1">
        <v>70355089</v>
      </c>
      <c r="H593" s="1">
        <v>68795376</v>
      </c>
      <c r="I593" s="1">
        <v>10813618</v>
      </c>
      <c r="J593" s="1">
        <v>421513</v>
      </c>
      <c r="K593" s="1">
        <v>7.77</v>
      </c>
      <c r="L593" s="1">
        <v>16.16</v>
      </c>
      <c r="M593" s="1">
        <v>34.32</v>
      </c>
      <c r="N593" s="1">
        <v>14.86</v>
      </c>
      <c r="O593" s="1">
        <v>30.73</v>
      </c>
      <c r="P593" s="1">
        <v>24.46</v>
      </c>
      <c r="Q593" s="1">
        <v>8777.14</v>
      </c>
      <c r="R593" s="1">
        <v>50</v>
      </c>
      <c r="S593" s="1">
        <v>60.8</v>
      </c>
    </row>
    <row r="594" spans="1:19" ht="15">
      <c r="A594" s="1">
        <v>33</v>
      </c>
      <c r="B594" s="1" t="s">
        <v>58</v>
      </c>
      <c r="C594" s="1" t="s">
        <v>56</v>
      </c>
      <c r="D594" s="1">
        <v>2026</v>
      </c>
      <c r="E594" s="1" t="s">
        <v>22</v>
      </c>
      <c r="F594" s="1">
        <v>11422501</v>
      </c>
      <c r="G594" s="1">
        <v>5683807</v>
      </c>
      <c r="H594" s="1">
        <v>5738694</v>
      </c>
      <c r="I594" s="1">
        <v>616481</v>
      </c>
      <c r="J594" s="1">
        <v>30995</v>
      </c>
      <c r="K594" s="1">
        <v>5.4</v>
      </c>
      <c r="L594" s="1">
        <v>25.07</v>
      </c>
      <c r="M594" s="1">
        <v>10.52</v>
      </c>
      <c r="N594" s="1">
        <v>13.84</v>
      </c>
      <c r="O594" s="1">
        <v>27.32</v>
      </c>
      <c r="P594" s="1">
        <v>27.01</v>
      </c>
      <c r="Q594" s="1">
        <v>4192.51</v>
      </c>
      <c r="R594" s="1">
        <v>81</v>
      </c>
      <c r="S594" s="1">
        <v>73.7</v>
      </c>
    </row>
    <row r="595" spans="1:19" ht="15">
      <c r="A595" s="1">
        <v>33</v>
      </c>
      <c r="B595" s="1" t="s">
        <v>58</v>
      </c>
      <c r="C595" s="1" t="s">
        <v>56</v>
      </c>
      <c r="D595" s="1">
        <v>2026</v>
      </c>
      <c r="E595" s="1" t="s">
        <v>23</v>
      </c>
      <c r="F595" s="1">
        <v>10758935</v>
      </c>
      <c r="G595" s="1">
        <v>5304271</v>
      </c>
      <c r="H595" s="1">
        <v>5454664</v>
      </c>
      <c r="I595" s="1">
        <v>823479</v>
      </c>
      <c r="J595" s="1">
        <v>41245</v>
      </c>
      <c r="K595" s="1">
        <v>7.65</v>
      </c>
      <c r="L595" s="1">
        <v>27.51</v>
      </c>
      <c r="M595" s="1">
        <v>18.5</v>
      </c>
      <c r="N595" s="1">
        <v>6.22</v>
      </c>
      <c r="O595" s="1">
        <v>33.69</v>
      </c>
      <c r="P595" s="1">
        <v>34.14</v>
      </c>
      <c r="Q595" s="1">
        <v>11260.76</v>
      </c>
      <c r="R595" s="1">
        <v>55</v>
      </c>
      <c r="S595" s="1">
        <v>68.7</v>
      </c>
    </row>
    <row r="596" spans="1:19" ht="15">
      <c r="A596" s="1">
        <v>34</v>
      </c>
      <c r="B596" s="1" t="s">
        <v>59</v>
      </c>
      <c r="C596" s="1" t="s">
        <v>56</v>
      </c>
      <c r="D596" s="1">
        <v>2021</v>
      </c>
      <c r="E596" s="1" t="s">
        <v>21</v>
      </c>
      <c r="F596" s="1">
        <v>16211428</v>
      </c>
      <c r="G596" s="1">
        <v>8256409</v>
      </c>
      <c r="H596" s="1">
        <v>7955019</v>
      </c>
      <c r="I596" s="1">
        <v>1161042</v>
      </c>
      <c r="J596" s="1">
        <v>92728</v>
      </c>
      <c r="K596" s="1">
        <v>7.16</v>
      </c>
      <c r="L596" s="1">
        <v>19.579999999999998</v>
      </c>
      <c r="M596" s="1">
        <v>14.36</v>
      </c>
      <c r="N596" s="1">
        <v>12.9</v>
      </c>
      <c r="O596" s="1">
        <v>22.15</v>
      </c>
      <c r="P596" s="1">
        <v>23.7</v>
      </c>
      <c r="Q596" s="1">
        <v>2456.7399999999998</v>
      </c>
      <c r="R596" s="1">
        <v>60</v>
      </c>
      <c r="S596" s="1">
        <v>77.8</v>
      </c>
    </row>
    <row r="597" spans="1:19" ht="15">
      <c r="A597" s="1">
        <v>34</v>
      </c>
      <c r="B597" s="1" t="s">
        <v>59</v>
      </c>
      <c r="C597" s="1" t="s">
        <v>56</v>
      </c>
      <c r="D597" s="1">
        <v>2021</v>
      </c>
      <c r="E597" s="1" t="s">
        <v>22</v>
      </c>
      <c r="F597" s="1">
        <v>131345197</v>
      </c>
      <c r="G597" s="1">
        <v>67029340</v>
      </c>
      <c r="H597" s="1">
        <v>64315857</v>
      </c>
      <c r="I597" s="1">
        <v>9384301</v>
      </c>
      <c r="J597" s="1">
        <v>642415</v>
      </c>
      <c r="K597" s="1">
        <v>7.14</v>
      </c>
      <c r="L597" s="1">
        <v>28.08</v>
      </c>
      <c r="M597" s="1">
        <v>18.13</v>
      </c>
      <c r="N597" s="1">
        <v>8.43</v>
      </c>
      <c r="O597" s="1">
        <v>36.979999999999997</v>
      </c>
      <c r="P597" s="1">
        <v>36.32</v>
      </c>
      <c r="Q597" s="1">
        <v>4327.76</v>
      </c>
      <c r="R597" s="1">
        <v>77</v>
      </c>
      <c r="S597" s="1">
        <v>73.900000000000006</v>
      </c>
    </row>
    <row r="598" spans="1:19" ht="15">
      <c r="A598" s="1">
        <v>34</v>
      </c>
      <c r="B598" s="1" t="s">
        <v>59</v>
      </c>
      <c r="C598" s="1" t="s">
        <v>56</v>
      </c>
      <c r="D598" s="1">
        <v>2021</v>
      </c>
      <c r="E598" s="1" t="s">
        <v>23</v>
      </c>
      <c r="F598" s="1">
        <v>11580189</v>
      </c>
      <c r="G598" s="1">
        <v>5567452</v>
      </c>
      <c r="H598" s="1">
        <v>6012737</v>
      </c>
      <c r="I598" s="1">
        <v>926778</v>
      </c>
      <c r="J598" s="1">
        <v>69060</v>
      </c>
      <c r="K598" s="1">
        <v>8</v>
      </c>
      <c r="L598" s="1">
        <v>26.13</v>
      </c>
      <c r="M598" s="1">
        <v>30.22</v>
      </c>
      <c r="N598" s="1">
        <v>14.04</v>
      </c>
      <c r="O598" s="1">
        <v>32.409999999999997</v>
      </c>
      <c r="P598" s="1">
        <v>35</v>
      </c>
      <c r="Q598" s="1">
        <v>11560.71</v>
      </c>
      <c r="R598" s="1">
        <v>67</v>
      </c>
      <c r="S598" s="1">
        <v>79.099999999999994</v>
      </c>
    </row>
    <row r="599" spans="1:19" ht="15">
      <c r="A599" s="1">
        <v>34</v>
      </c>
      <c r="B599" s="1" t="s">
        <v>59</v>
      </c>
      <c r="C599" s="1" t="s">
        <v>56</v>
      </c>
      <c r="D599" s="1">
        <v>2022</v>
      </c>
      <c r="E599" s="1" t="s">
        <v>21</v>
      </c>
      <c r="F599" s="1">
        <v>39672950</v>
      </c>
      <c r="G599" s="1">
        <v>19652087</v>
      </c>
      <c r="H599" s="1">
        <v>20020863</v>
      </c>
      <c r="I599" s="1">
        <v>3116887</v>
      </c>
      <c r="J599" s="1">
        <v>222982</v>
      </c>
      <c r="K599" s="1">
        <v>7.86</v>
      </c>
      <c r="L599" s="1">
        <v>29.22</v>
      </c>
      <c r="M599" s="1">
        <v>12.84</v>
      </c>
      <c r="N599" s="1">
        <v>11.61</v>
      </c>
      <c r="O599" s="1">
        <v>30.23</v>
      </c>
      <c r="P599" s="1">
        <v>21.79</v>
      </c>
      <c r="Q599" s="1">
        <v>2956.88</v>
      </c>
      <c r="R599" s="1">
        <v>66</v>
      </c>
      <c r="S599" s="1">
        <v>79</v>
      </c>
    </row>
    <row r="600" spans="1:19" ht="15">
      <c r="A600" s="1">
        <v>34</v>
      </c>
      <c r="B600" s="1" t="s">
        <v>59</v>
      </c>
      <c r="C600" s="1" t="s">
        <v>56</v>
      </c>
      <c r="D600" s="1">
        <v>2022</v>
      </c>
      <c r="E600" s="1" t="s">
        <v>22</v>
      </c>
      <c r="F600" s="1">
        <v>52736566</v>
      </c>
      <c r="G600" s="1">
        <v>27233446</v>
      </c>
      <c r="H600" s="1">
        <v>25503120</v>
      </c>
      <c r="I600" s="1">
        <v>4378336</v>
      </c>
      <c r="J600" s="1">
        <v>164754</v>
      </c>
      <c r="K600" s="1">
        <v>8.3000000000000007</v>
      </c>
      <c r="L600" s="1">
        <v>25.33</v>
      </c>
      <c r="M600" s="1">
        <v>22.89</v>
      </c>
      <c r="N600" s="1">
        <v>10.51</v>
      </c>
      <c r="O600" s="1">
        <v>36.799999999999997</v>
      </c>
      <c r="P600" s="1">
        <v>39.58</v>
      </c>
      <c r="Q600" s="1">
        <v>4852.93</v>
      </c>
      <c r="R600" s="1">
        <v>49</v>
      </c>
      <c r="S600" s="1">
        <v>76.3</v>
      </c>
    </row>
    <row r="601" spans="1:19" ht="15">
      <c r="A601" s="1">
        <v>34</v>
      </c>
      <c r="B601" s="1" t="s">
        <v>59</v>
      </c>
      <c r="C601" s="1" t="s">
        <v>56</v>
      </c>
      <c r="D601" s="1">
        <v>2022</v>
      </c>
      <c r="E601" s="1" t="s">
        <v>23</v>
      </c>
      <c r="F601" s="1">
        <v>33654303</v>
      </c>
      <c r="G601" s="1">
        <v>16853737</v>
      </c>
      <c r="H601" s="1">
        <v>16800566</v>
      </c>
      <c r="I601" s="1">
        <v>2573147</v>
      </c>
      <c r="J601" s="1">
        <v>85578</v>
      </c>
      <c r="K601" s="1">
        <v>7.65</v>
      </c>
      <c r="L601" s="1">
        <v>18.649999999999999</v>
      </c>
      <c r="M601" s="1">
        <v>28.69</v>
      </c>
      <c r="N601" s="1">
        <v>5.42</v>
      </c>
      <c r="O601" s="1">
        <v>26.16</v>
      </c>
      <c r="P601" s="1">
        <v>31.74</v>
      </c>
      <c r="Q601" s="1">
        <v>1727.56</v>
      </c>
      <c r="R601" s="1">
        <v>44</v>
      </c>
      <c r="S601" s="1">
        <v>77.599999999999994</v>
      </c>
    </row>
    <row r="602" spans="1:19" ht="15">
      <c r="A602" s="1">
        <v>34</v>
      </c>
      <c r="B602" s="1" t="s">
        <v>59</v>
      </c>
      <c r="C602" s="1" t="s">
        <v>56</v>
      </c>
      <c r="D602" s="1">
        <v>2023</v>
      </c>
      <c r="E602" s="1" t="s">
        <v>21</v>
      </c>
      <c r="F602" s="1">
        <v>64961276</v>
      </c>
      <c r="G602" s="1">
        <v>33659986</v>
      </c>
      <c r="H602" s="1">
        <v>31301290</v>
      </c>
      <c r="I602" s="1">
        <v>5409725</v>
      </c>
      <c r="J602" s="1">
        <v>306652</v>
      </c>
      <c r="K602" s="1">
        <v>8.33</v>
      </c>
      <c r="L602" s="1">
        <v>27.91</v>
      </c>
      <c r="M602" s="1">
        <v>23.89</v>
      </c>
      <c r="N602" s="1">
        <v>7.94</v>
      </c>
      <c r="O602" s="1">
        <v>31.95</v>
      </c>
      <c r="P602" s="1">
        <v>20.55</v>
      </c>
      <c r="Q602" s="1">
        <v>5506.42</v>
      </c>
      <c r="R602" s="1">
        <v>61</v>
      </c>
      <c r="S602" s="1">
        <v>69.3</v>
      </c>
    </row>
    <row r="603" spans="1:19" ht="15">
      <c r="A603" s="1">
        <v>34</v>
      </c>
      <c r="B603" s="1" t="s">
        <v>59</v>
      </c>
      <c r="C603" s="1" t="s">
        <v>56</v>
      </c>
      <c r="D603" s="1">
        <v>2023</v>
      </c>
      <c r="E603" s="1" t="s">
        <v>22</v>
      </c>
      <c r="F603" s="1">
        <v>80466256</v>
      </c>
      <c r="G603" s="1">
        <v>40345989</v>
      </c>
      <c r="H603" s="1">
        <v>40120267</v>
      </c>
      <c r="I603" s="1">
        <v>5179311</v>
      </c>
      <c r="J603" s="1">
        <v>214218</v>
      </c>
      <c r="K603" s="1">
        <v>6.44</v>
      </c>
      <c r="L603" s="1">
        <v>26.2</v>
      </c>
      <c r="M603" s="1">
        <v>26</v>
      </c>
      <c r="N603" s="1">
        <v>5.18</v>
      </c>
      <c r="O603" s="1">
        <v>28.77</v>
      </c>
      <c r="P603" s="1">
        <v>16.91</v>
      </c>
      <c r="Q603" s="1">
        <v>9270.75</v>
      </c>
      <c r="R603" s="1">
        <v>84</v>
      </c>
      <c r="S603" s="1">
        <v>81.7</v>
      </c>
    </row>
    <row r="604" spans="1:19" ht="15">
      <c r="A604" s="1">
        <v>34</v>
      </c>
      <c r="B604" s="1" t="s">
        <v>59</v>
      </c>
      <c r="C604" s="1" t="s">
        <v>56</v>
      </c>
      <c r="D604" s="1">
        <v>2023</v>
      </c>
      <c r="E604" s="1" t="s">
        <v>23</v>
      </c>
      <c r="F604" s="1">
        <v>117004588</v>
      </c>
      <c r="G604" s="1">
        <v>57237394</v>
      </c>
      <c r="H604" s="1">
        <v>59767194</v>
      </c>
      <c r="I604" s="1">
        <v>6917610</v>
      </c>
      <c r="J604" s="1">
        <v>489518</v>
      </c>
      <c r="K604" s="1">
        <v>5.91</v>
      </c>
      <c r="L604" s="1">
        <v>29.65</v>
      </c>
      <c r="M604" s="1">
        <v>11.14</v>
      </c>
      <c r="N604" s="1">
        <v>5.3</v>
      </c>
      <c r="O604" s="1">
        <v>35.76</v>
      </c>
      <c r="P604" s="1">
        <v>30.84</v>
      </c>
      <c r="Q604" s="1">
        <v>11948.05</v>
      </c>
      <c r="R604" s="1">
        <v>77</v>
      </c>
      <c r="S604" s="1">
        <v>73.599999999999994</v>
      </c>
    </row>
    <row r="605" spans="1:19" ht="15">
      <c r="A605" s="1">
        <v>34</v>
      </c>
      <c r="B605" s="1" t="s">
        <v>59</v>
      </c>
      <c r="C605" s="1" t="s">
        <v>56</v>
      </c>
      <c r="D605" s="1">
        <v>2024</v>
      </c>
      <c r="E605" s="1" t="s">
        <v>21</v>
      </c>
      <c r="F605" s="1">
        <v>156223456</v>
      </c>
      <c r="G605" s="1">
        <v>78647573</v>
      </c>
      <c r="H605" s="1">
        <v>77575883</v>
      </c>
      <c r="I605" s="1">
        <v>13950499</v>
      </c>
      <c r="J605" s="1">
        <v>1043945</v>
      </c>
      <c r="K605" s="1">
        <v>8.93</v>
      </c>
      <c r="L605" s="1">
        <v>27.76</v>
      </c>
      <c r="M605" s="1">
        <v>26.24</v>
      </c>
      <c r="N605" s="1">
        <v>7.76</v>
      </c>
      <c r="O605" s="1">
        <v>22.51</v>
      </c>
      <c r="P605" s="1">
        <v>31.06</v>
      </c>
      <c r="Q605" s="1">
        <v>7785.56</v>
      </c>
      <c r="R605" s="1">
        <v>62</v>
      </c>
      <c r="S605" s="1">
        <v>64</v>
      </c>
    </row>
    <row r="606" spans="1:19" ht="15">
      <c r="A606" s="1">
        <v>34</v>
      </c>
      <c r="B606" s="1" t="s">
        <v>59</v>
      </c>
      <c r="C606" s="1" t="s">
        <v>56</v>
      </c>
      <c r="D606" s="1">
        <v>2024</v>
      </c>
      <c r="E606" s="1" t="s">
        <v>22</v>
      </c>
      <c r="F606" s="1">
        <v>58698077</v>
      </c>
      <c r="G606" s="1">
        <v>29722000</v>
      </c>
      <c r="H606" s="1">
        <v>28976077</v>
      </c>
      <c r="I606" s="1">
        <v>4414923</v>
      </c>
      <c r="J606" s="1">
        <v>276647</v>
      </c>
      <c r="K606" s="1">
        <v>7.52</v>
      </c>
      <c r="L606" s="1">
        <v>21.54</v>
      </c>
      <c r="M606" s="1">
        <v>11.04</v>
      </c>
      <c r="N606" s="1">
        <v>12.23</v>
      </c>
      <c r="O606" s="1">
        <v>26.58</v>
      </c>
      <c r="P606" s="1">
        <v>28.63</v>
      </c>
      <c r="Q606" s="1">
        <v>7366.76</v>
      </c>
      <c r="R606" s="1">
        <v>60</v>
      </c>
      <c r="S606" s="1">
        <v>62.5</v>
      </c>
    </row>
    <row r="607" spans="1:19" ht="15">
      <c r="A607" s="1">
        <v>34</v>
      </c>
      <c r="B607" s="1" t="s">
        <v>59</v>
      </c>
      <c r="C607" s="1" t="s">
        <v>56</v>
      </c>
      <c r="D607" s="1">
        <v>2024</v>
      </c>
      <c r="E607" s="1" t="s">
        <v>23</v>
      </c>
      <c r="F607" s="1">
        <v>154577671</v>
      </c>
      <c r="G607" s="1">
        <v>77460292</v>
      </c>
      <c r="H607" s="1">
        <v>77117379</v>
      </c>
      <c r="I607" s="1">
        <v>9223940</v>
      </c>
      <c r="J607" s="1">
        <v>379332</v>
      </c>
      <c r="K607" s="1">
        <v>5.97</v>
      </c>
      <c r="L607" s="1">
        <v>22.09</v>
      </c>
      <c r="M607" s="1">
        <v>30.74</v>
      </c>
      <c r="N607" s="1">
        <v>13.39</v>
      </c>
      <c r="O607" s="1">
        <v>29.45</v>
      </c>
      <c r="P607" s="1">
        <v>21.79</v>
      </c>
      <c r="Q607" s="1">
        <v>5227.1099999999997</v>
      </c>
      <c r="R607" s="1">
        <v>73</v>
      </c>
      <c r="S607" s="1">
        <v>73</v>
      </c>
    </row>
    <row r="608" spans="1:19" ht="15">
      <c r="A608" s="1">
        <v>34</v>
      </c>
      <c r="B608" s="1" t="s">
        <v>59</v>
      </c>
      <c r="C608" s="1" t="s">
        <v>56</v>
      </c>
      <c r="D608" s="1">
        <v>2025</v>
      </c>
      <c r="E608" s="1" t="s">
        <v>21</v>
      </c>
      <c r="F608" s="1">
        <v>35947228</v>
      </c>
      <c r="G608" s="1">
        <v>17297341</v>
      </c>
      <c r="H608" s="1">
        <v>18649887</v>
      </c>
      <c r="I608" s="1">
        <v>2787233</v>
      </c>
      <c r="J608" s="1">
        <v>176265</v>
      </c>
      <c r="K608" s="1">
        <v>7.75</v>
      </c>
      <c r="L608" s="1">
        <v>11.27</v>
      </c>
      <c r="M608" s="1">
        <v>34.28</v>
      </c>
      <c r="N608" s="1">
        <v>14.59</v>
      </c>
      <c r="O608" s="1">
        <v>37.619999999999997</v>
      </c>
      <c r="P608" s="1">
        <v>38.35</v>
      </c>
      <c r="Q608" s="1">
        <v>2274.58</v>
      </c>
      <c r="R608" s="1">
        <v>74</v>
      </c>
      <c r="S608" s="1">
        <v>81</v>
      </c>
    </row>
    <row r="609" spans="1:19" ht="15">
      <c r="A609" s="1">
        <v>34</v>
      </c>
      <c r="B609" s="1" t="s">
        <v>59</v>
      </c>
      <c r="C609" s="1" t="s">
        <v>56</v>
      </c>
      <c r="D609" s="1">
        <v>2025</v>
      </c>
      <c r="E609" s="1" t="s">
        <v>22</v>
      </c>
      <c r="F609" s="1">
        <v>55425281</v>
      </c>
      <c r="G609" s="1">
        <v>27420094</v>
      </c>
      <c r="H609" s="1">
        <v>28005187</v>
      </c>
      <c r="I609" s="1">
        <v>2929254</v>
      </c>
      <c r="J609" s="1">
        <v>221419</v>
      </c>
      <c r="K609" s="1">
        <v>5.29</v>
      </c>
      <c r="L609" s="1">
        <v>23.36</v>
      </c>
      <c r="M609" s="1">
        <v>33.14</v>
      </c>
      <c r="N609" s="1">
        <v>14.97</v>
      </c>
      <c r="O609" s="1">
        <v>34.549999999999997</v>
      </c>
      <c r="P609" s="1">
        <v>30.19</v>
      </c>
      <c r="Q609" s="1">
        <v>7277.85</v>
      </c>
      <c r="R609" s="1">
        <v>54</v>
      </c>
      <c r="S609" s="1">
        <v>63.8</v>
      </c>
    </row>
    <row r="610" spans="1:19" ht="15">
      <c r="A610" s="1">
        <v>34</v>
      </c>
      <c r="B610" s="1" t="s">
        <v>59</v>
      </c>
      <c r="C610" s="1" t="s">
        <v>56</v>
      </c>
      <c r="D610" s="1">
        <v>2025</v>
      </c>
      <c r="E610" s="1" t="s">
        <v>23</v>
      </c>
      <c r="F610" s="1">
        <v>38055893</v>
      </c>
      <c r="G610" s="1">
        <v>19155233</v>
      </c>
      <c r="H610" s="1">
        <v>18900660</v>
      </c>
      <c r="I610" s="1">
        <v>2731595</v>
      </c>
      <c r="J610" s="1">
        <v>201478</v>
      </c>
      <c r="K610" s="1">
        <v>7.18</v>
      </c>
      <c r="L610" s="1">
        <v>19.27</v>
      </c>
      <c r="M610" s="1">
        <v>11.3</v>
      </c>
      <c r="N610" s="1">
        <v>7.16</v>
      </c>
      <c r="O610" s="1">
        <v>31.02</v>
      </c>
      <c r="P610" s="1">
        <v>33.450000000000003</v>
      </c>
      <c r="Q610" s="1">
        <v>10854.44</v>
      </c>
      <c r="R610" s="1">
        <v>60</v>
      </c>
      <c r="S610" s="1">
        <v>69.7</v>
      </c>
    </row>
    <row r="611" spans="1:19" ht="15">
      <c r="A611" s="1">
        <v>34</v>
      </c>
      <c r="B611" s="1" t="s">
        <v>59</v>
      </c>
      <c r="C611" s="1" t="s">
        <v>56</v>
      </c>
      <c r="D611" s="1">
        <v>2026</v>
      </c>
      <c r="E611" s="1" t="s">
        <v>21</v>
      </c>
      <c r="F611" s="1">
        <v>135703920</v>
      </c>
      <c r="G611" s="1">
        <v>65750762</v>
      </c>
      <c r="H611" s="1">
        <v>69953158</v>
      </c>
      <c r="I611" s="1">
        <v>9570172</v>
      </c>
      <c r="J611" s="1">
        <v>449985</v>
      </c>
      <c r="K611" s="1">
        <v>7.05</v>
      </c>
      <c r="L611" s="1">
        <v>29.91</v>
      </c>
      <c r="M611" s="1">
        <v>13.68</v>
      </c>
      <c r="N611" s="1">
        <v>11.22</v>
      </c>
      <c r="O611" s="1">
        <v>34.6</v>
      </c>
      <c r="P611" s="1">
        <v>15.24</v>
      </c>
      <c r="Q611" s="1">
        <v>6309.47</v>
      </c>
      <c r="R611" s="1">
        <v>70</v>
      </c>
      <c r="S611" s="1">
        <v>79.7</v>
      </c>
    </row>
    <row r="612" spans="1:19" ht="15">
      <c r="A612" s="1">
        <v>34</v>
      </c>
      <c r="B612" s="1" t="s">
        <v>59</v>
      </c>
      <c r="C612" s="1" t="s">
        <v>56</v>
      </c>
      <c r="D612" s="1">
        <v>2026</v>
      </c>
      <c r="E612" s="1" t="s">
        <v>22</v>
      </c>
      <c r="F612" s="1">
        <v>28602242</v>
      </c>
      <c r="G612" s="1">
        <v>14456021</v>
      </c>
      <c r="H612" s="1">
        <v>14146221</v>
      </c>
      <c r="I612" s="1">
        <v>2281172</v>
      </c>
      <c r="J612" s="1">
        <v>176432</v>
      </c>
      <c r="K612" s="1">
        <v>7.98</v>
      </c>
      <c r="L612" s="1">
        <v>27.27</v>
      </c>
      <c r="M612" s="1">
        <v>16.16</v>
      </c>
      <c r="N612" s="1">
        <v>7.7</v>
      </c>
      <c r="O612" s="1">
        <v>34.119999999999997</v>
      </c>
      <c r="P612" s="1">
        <v>39.11</v>
      </c>
      <c r="Q612" s="1">
        <v>2535.61</v>
      </c>
      <c r="R612" s="1">
        <v>53</v>
      </c>
      <c r="S612" s="1">
        <v>81.8</v>
      </c>
    </row>
    <row r="613" spans="1:19" ht="15">
      <c r="A613" s="1">
        <v>34</v>
      </c>
      <c r="B613" s="1" t="s">
        <v>59</v>
      </c>
      <c r="C613" s="1" t="s">
        <v>56</v>
      </c>
      <c r="D613" s="1">
        <v>2026</v>
      </c>
      <c r="E613" s="1" t="s">
        <v>23</v>
      </c>
      <c r="F613" s="1">
        <v>163545950</v>
      </c>
      <c r="G613" s="1">
        <v>80301174</v>
      </c>
      <c r="H613" s="1">
        <v>83244776</v>
      </c>
      <c r="I613" s="1">
        <v>12655385</v>
      </c>
      <c r="J613" s="1">
        <v>603485</v>
      </c>
      <c r="K613" s="1">
        <v>7.74</v>
      </c>
      <c r="L613" s="1">
        <v>14.26</v>
      </c>
      <c r="M613" s="1">
        <v>21.24</v>
      </c>
      <c r="N613" s="1">
        <v>6.94</v>
      </c>
      <c r="O613" s="1">
        <v>23.96</v>
      </c>
      <c r="P613" s="1">
        <v>28.81</v>
      </c>
      <c r="Q613" s="1">
        <v>8399.2800000000007</v>
      </c>
      <c r="R613" s="1">
        <v>47</v>
      </c>
      <c r="S613" s="1">
        <v>74.5</v>
      </c>
    </row>
    <row r="614" spans="1:19" ht="15">
      <c r="A614" s="1">
        <v>35</v>
      </c>
      <c r="B614" s="1" t="s">
        <v>60</v>
      </c>
      <c r="C614" s="1" t="s">
        <v>56</v>
      </c>
      <c r="D614" s="1">
        <v>2021</v>
      </c>
      <c r="E614" s="1" t="s">
        <v>21</v>
      </c>
      <c r="F614" s="1">
        <v>24256708</v>
      </c>
      <c r="G614" s="1">
        <v>12559422</v>
      </c>
      <c r="H614" s="1">
        <v>11697286</v>
      </c>
      <c r="I614" s="1">
        <v>2207714</v>
      </c>
      <c r="J614" s="1">
        <v>153039</v>
      </c>
      <c r="K614" s="1">
        <v>9.1</v>
      </c>
      <c r="L614" s="1">
        <v>14.27</v>
      </c>
      <c r="M614" s="1">
        <v>11.82</v>
      </c>
      <c r="N614" s="1">
        <v>8.59</v>
      </c>
      <c r="O614" s="1">
        <v>28.88</v>
      </c>
      <c r="P614" s="1">
        <v>20.56</v>
      </c>
      <c r="Q614" s="1">
        <v>2694.64</v>
      </c>
      <c r="R614" s="1">
        <v>46</v>
      </c>
      <c r="S614" s="1">
        <v>64.099999999999994</v>
      </c>
    </row>
    <row r="615" spans="1:19" ht="15">
      <c r="A615" s="1">
        <v>35</v>
      </c>
      <c r="B615" s="1" t="s">
        <v>60</v>
      </c>
      <c r="C615" s="1" t="s">
        <v>56</v>
      </c>
      <c r="D615" s="1">
        <v>2021</v>
      </c>
      <c r="E615" s="1" t="s">
        <v>22</v>
      </c>
      <c r="F615" s="1">
        <v>44382252</v>
      </c>
      <c r="G615" s="1">
        <v>21352786</v>
      </c>
      <c r="H615" s="1">
        <v>23029466</v>
      </c>
      <c r="I615" s="1">
        <v>2330433</v>
      </c>
      <c r="J615" s="1">
        <v>79972</v>
      </c>
      <c r="K615" s="1">
        <v>5.25</v>
      </c>
      <c r="L615" s="1">
        <v>22.54</v>
      </c>
      <c r="M615" s="1">
        <v>12.19</v>
      </c>
      <c r="N615" s="1">
        <v>6.18</v>
      </c>
      <c r="O615" s="1">
        <v>27.56</v>
      </c>
      <c r="P615" s="1">
        <v>29.87</v>
      </c>
      <c r="Q615" s="1">
        <v>9741.56</v>
      </c>
      <c r="R615" s="1">
        <v>59</v>
      </c>
      <c r="S615" s="1">
        <v>71.3</v>
      </c>
    </row>
    <row r="616" spans="1:19" ht="15">
      <c r="A616" s="1">
        <v>35</v>
      </c>
      <c r="B616" s="1" t="s">
        <v>60</v>
      </c>
      <c r="C616" s="1" t="s">
        <v>56</v>
      </c>
      <c r="D616" s="1">
        <v>2021</v>
      </c>
      <c r="E616" s="1" t="s">
        <v>23</v>
      </c>
      <c r="F616" s="1">
        <v>147316872</v>
      </c>
      <c r="G616" s="1">
        <v>71555378</v>
      </c>
      <c r="H616" s="1">
        <v>75761494</v>
      </c>
      <c r="I616" s="1">
        <v>8515516</v>
      </c>
      <c r="J616" s="1">
        <v>673345</v>
      </c>
      <c r="K616" s="1">
        <v>5.78</v>
      </c>
      <c r="L616" s="1">
        <v>16.09</v>
      </c>
      <c r="M616" s="1">
        <v>19.97</v>
      </c>
      <c r="N616" s="1">
        <v>13.08</v>
      </c>
      <c r="O616" s="1">
        <v>23.85</v>
      </c>
      <c r="P616" s="1">
        <v>16.09</v>
      </c>
      <c r="Q616" s="1">
        <v>7941.07</v>
      </c>
      <c r="R616" s="1">
        <v>66</v>
      </c>
      <c r="S616" s="1">
        <v>81.8</v>
      </c>
    </row>
    <row r="617" spans="1:19" ht="15">
      <c r="A617" s="1">
        <v>35</v>
      </c>
      <c r="B617" s="1" t="s">
        <v>60</v>
      </c>
      <c r="C617" s="1" t="s">
        <v>56</v>
      </c>
      <c r="D617" s="1">
        <v>2022</v>
      </c>
      <c r="E617" s="1" t="s">
        <v>21</v>
      </c>
      <c r="F617" s="1">
        <v>189738987</v>
      </c>
      <c r="G617" s="1">
        <v>96181476</v>
      </c>
      <c r="H617" s="1">
        <v>93557511</v>
      </c>
      <c r="I617" s="1">
        <v>12323910</v>
      </c>
      <c r="J617" s="1">
        <v>487926</v>
      </c>
      <c r="K617" s="1">
        <v>6.5</v>
      </c>
      <c r="L617" s="1">
        <v>25.71</v>
      </c>
      <c r="M617" s="1">
        <v>20.86</v>
      </c>
      <c r="N617" s="1">
        <v>10.75</v>
      </c>
      <c r="O617" s="1">
        <v>39.96</v>
      </c>
      <c r="P617" s="1">
        <v>23</v>
      </c>
      <c r="Q617" s="1">
        <v>9960.2800000000007</v>
      </c>
      <c r="R617" s="1">
        <v>47</v>
      </c>
      <c r="S617" s="1">
        <v>69.3</v>
      </c>
    </row>
    <row r="618" spans="1:19" ht="15">
      <c r="A618" s="1">
        <v>35</v>
      </c>
      <c r="B618" s="1" t="s">
        <v>60</v>
      </c>
      <c r="C618" s="1" t="s">
        <v>56</v>
      </c>
      <c r="D618" s="1">
        <v>2022</v>
      </c>
      <c r="E618" s="1" t="s">
        <v>22</v>
      </c>
      <c r="F618" s="1">
        <v>104970935</v>
      </c>
      <c r="G618" s="1">
        <v>51206115</v>
      </c>
      <c r="H618" s="1">
        <v>53764820</v>
      </c>
      <c r="I618" s="1">
        <v>10033975</v>
      </c>
      <c r="J618" s="1">
        <v>508359</v>
      </c>
      <c r="K618" s="1">
        <v>9.56</v>
      </c>
      <c r="L618" s="1">
        <v>26.61</v>
      </c>
      <c r="M618" s="1">
        <v>27.5</v>
      </c>
      <c r="N618" s="1">
        <v>12.92</v>
      </c>
      <c r="O618" s="1">
        <v>26.2</v>
      </c>
      <c r="P618" s="1">
        <v>24.17</v>
      </c>
      <c r="Q618" s="1">
        <v>9886.2900000000009</v>
      </c>
      <c r="R618" s="1">
        <v>79</v>
      </c>
      <c r="S618" s="1">
        <v>66.599999999999994</v>
      </c>
    </row>
    <row r="619" spans="1:19" ht="15">
      <c r="A619" s="1">
        <v>35</v>
      </c>
      <c r="B619" s="1" t="s">
        <v>60</v>
      </c>
      <c r="C619" s="1" t="s">
        <v>56</v>
      </c>
      <c r="D619" s="1">
        <v>2022</v>
      </c>
      <c r="E619" s="1" t="s">
        <v>23</v>
      </c>
      <c r="F619" s="1">
        <v>30509107</v>
      </c>
      <c r="G619" s="1">
        <v>15771092</v>
      </c>
      <c r="H619" s="1">
        <v>14738015</v>
      </c>
      <c r="I619" s="1">
        <v>2646656</v>
      </c>
      <c r="J619" s="1">
        <v>187411</v>
      </c>
      <c r="K619" s="1">
        <v>8.67</v>
      </c>
      <c r="L619" s="1">
        <v>17.86</v>
      </c>
      <c r="M619" s="1">
        <v>28.06</v>
      </c>
      <c r="N619" s="1">
        <v>5.64</v>
      </c>
      <c r="O619" s="1">
        <v>31.01</v>
      </c>
      <c r="P619" s="1">
        <v>35.840000000000003</v>
      </c>
      <c r="Q619" s="1">
        <v>7412.58</v>
      </c>
      <c r="R619" s="1">
        <v>74</v>
      </c>
      <c r="S619" s="1">
        <v>66</v>
      </c>
    </row>
    <row r="620" spans="1:19" ht="15">
      <c r="A620" s="1">
        <v>35</v>
      </c>
      <c r="B620" s="1" t="s">
        <v>60</v>
      </c>
      <c r="C620" s="1" t="s">
        <v>56</v>
      </c>
      <c r="D620" s="1">
        <v>2023</v>
      </c>
      <c r="E620" s="1" t="s">
        <v>21</v>
      </c>
      <c r="F620" s="1">
        <v>129274967</v>
      </c>
      <c r="G620" s="1">
        <v>62501293</v>
      </c>
      <c r="H620" s="1">
        <v>66773674</v>
      </c>
      <c r="I620" s="1">
        <v>6599668</v>
      </c>
      <c r="J620" s="1">
        <v>309475</v>
      </c>
      <c r="K620" s="1">
        <v>5.1100000000000003</v>
      </c>
      <c r="L620" s="1">
        <v>10.37</v>
      </c>
      <c r="M620" s="1">
        <v>25.74</v>
      </c>
      <c r="N620" s="1">
        <v>11.54</v>
      </c>
      <c r="O620" s="1">
        <v>29.34</v>
      </c>
      <c r="P620" s="1">
        <v>21.25</v>
      </c>
      <c r="Q620" s="1">
        <v>2052.56</v>
      </c>
      <c r="R620" s="1">
        <v>67</v>
      </c>
      <c r="S620" s="1">
        <v>72.5</v>
      </c>
    </row>
    <row r="621" spans="1:19" ht="15">
      <c r="A621" s="1">
        <v>35</v>
      </c>
      <c r="B621" s="1" t="s">
        <v>60</v>
      </c>
      <c r="C621" s="1" t="s">
        <v>56</v>
      </c>
      <c r="D621" s="1">
        <v>2023</v>
      </c>
      <c r="E621" s="1" t="s">
        <v>22</v>
      </c>
      <c r="F621" s="1">
        <v>160102939</v>
      </c>
      <c r="G621" s="1">
        <v>81969705</v>
      </c>
      <c r="H621" s="1">
        <v>78133234</v>
      </c>
      <c r="I621" s="1">
        <v>10241116</v>
      </c>
      <c r="J621" s="1">
        <v>446162</v>
      </c>
      <c r="K621" s="1">
        <v>6.4</v>
      </c>
      <c r="L621" s="1">
        <v>22.49</v>
      </c>
      <c r="M621" s="1">
        <v>30.05</v>
      </c>
      <c r="N621" s="1">
        <v>7.15</v>
      </c>
      <c r="O621" s="1">
        <v>36.81</v>
      </c>
      <c r="P621" s="1">
        <v>37.04</v>
      </c>
      <c r="Q621" s="1">
        <v>9083.09</v>
      </c>
      <c r="R621" s="1">
        <v>82</v>
      </c>
      <c r="S621" s="1">
        <v>61.4</v>
      </c>
    </row>
    <row r="622" spans="1:19" ht="15">
      <c r="A622" s="1">
        <v>35</v>
      </c>
      <c r="B622" s="1" t="s">
        <v>60</v>
      </c>
      <c r="C622" s="1" t="s">
        <v>56</v>
      </c>
      <c r="D622" s="1">
        <v>2023</v>
      </c>
      <c r="E622" s="1" t="s">
        <v>23</v>
      </c>
      <c r="F622" s="1">
        <v>188774014</v>
      </c>
      <c r="G622" s="1">
        <v>91066750</v>
      </c>
      <c r="H622" s="1">
        <v>97707264</v>
      </c>
      <c r="I622" s="1">
        <v>16592826</v>
      </c>
      <c r="J622" s="1">
        <v>519277</v>
      </c>
      <c r="K622" s="1">
        <v>8.7899999999999991</v>
      </c>
      <c r="L622" s="1">
        <v>23.48</v>
      </c>
      <c r="M622" s="1">
        <v>12.61</v>
      </c>
      <c r="N622" s="1">
        <v>14.18</v>
      </c>
      <c r="O622" s="1">
        <v>21.56</v>
      </c>
      <c r="P622" s="1">
        <v>28.49</v>
      </c>
      <c r="Q622" s="1">
        <v>8819.81</v>
      </c>
      <c r="R622" s="1">
        <v>45</v>
      </c>
      <c r="S622" s="1">
        <v>72.8</v>
      </c>
    </row>
    <row r="623" spans="1:19" ht="15">
      <c r="A623" s="1">
        <v>35</v>
      </c>
      <c r="B623" s="1" t="s">
        <v>60</v>
      </c>
      <c r="C623" s="1" t="s">
        <v>56</v>
      </c>
      <c r="D623" s="1">
        <v>2024</v>
      </c>
      <c r="E623" s="1" t="s">
        <v>21</v>
      </c>
      <c r="F623" s="1">
        <v>190492160</v>
      </c>
      <c r="G623" s="1">
        <v>92131013</v>
      </c>
      <c r="H623" s="1">
        <v>98361147</v>
      </c>
      <c r="I623" s="1">
        <v>12651598</v>
      </c>
      <c r="J623" s="1">
        <v>917183</v>
      </c>
      <c r="K623" s="1">
        <v>6.64</v>
      </c>
      <c r="L623" s="1">
        <v>13.73</v>
      </c>
      <c r="M623" s="1">
        <v>16.14</v>
      </c>
      <c r="N623" s="1">
        <v>9.85</v>
      </c>
      <c r="O623" s="1">
        <v>27.68</v>
      </c>
      <c r="P623" s="1">
        <v>35.58</v>
      </c>
      <c r="Q623" s="1">
        <v>11509.02</v>
      </c>
      <c r="R623" s="1">
        <v>55</v>
      </c>
      <c r="S623" s="1">
        <v>73.8</v>
      </c>
    </row>
    <row r="624" spans="1:19" ht="15">
      <c r="A624" s="1">
        <v>35</v>
      </c>
      <c r="B624" s="1" t="s">
        <v>60</v>
      </c>
      <c r="C624" s="1" t="s">
        <v>56</v>
      </c>
      <c r="D624" s="1">
        <v>2024</v>
      </c>
      <c r="E624" s="1" t="s">
        <v>22</v>
      </c>
      <c r="F624" s="1">
        <v>120524157</v>
      </c>
      <c r="G624" s="1">
        <v>60174562</v>
      </c>
      <c r="H624" s="1">
        <v>60349595</v>
      </c>
      <c r="I624" s="1">
        <v>6865335</v>
      </c>
      <c r="J624" s="1">
        <v>452208</v>
      </c>
      <c r="K624" s="1">
        <v>5.7</v>
      </c>
      <c r="L624" s="1">
        <v>11.99</v>
      </c>
      <c r="M624" s="1">
        <v>17.55</v>
      </c>
      <c r="N624" s="1">
        <v>7.19</v>
      </c>
      <c r="O624" s="1">
        <v>32.15</v>
      </c>
      <c r="P624" s="1">
        <v>39.270000000000003</v>
      </c>
      <c r="Q624" s="1">
        <v>9026.27</v>
      </c>
      <c r="R624" s="1">
        <v>57</v>
      </c>
      <c r="S624" s="1">
        <v>65.900000000000006</v>
      </c>
    </row>
    <row r="625" spans="1:19" ht="15">
      <c r="A625" s="1">
        <v>35</v>
      </c>
      <c r="B625" s="1" t="s">
        <v>60</v>
      </c>
      <c r="C625" s="1" t="s">
        <v>56</v>
      </c>
      <c r="D625" s="1">
        <v>2024</v>
      </c>
      <c r="E625" s="1" t="s">
        <v>23</v>
      </c>
      <c r="F625" s="1">
        <v>194281294</v>
      </c>
      <c r="G625" s="1">
        <v>99915941</v>
      </c>
      <c r="H625" s="1">
        <v>94365353</v>
      </c>
      <c r="I625" s="1">
        <v>14783174</v>
      </c>
      <c r="J625" s="1">
        <v>848103</v>
      </c>
      <c r="K625" s="1">
        <v>7.61</v>
      </c>
      <c r="L625" s="1">
        <v>13.52</v>
      </c>
      <c r="M625" s="1">
        <v>32.909999999999997</v>
      </c>
      <c r="N625" s="1">
        <v>5.98</v>
      </c>
      <c r="O625" s="1">
        <v>21.66</v>
      </c>
      <c r="P625" s="1">
        <v>21.35</v>
      </c>
      <c r="Q625" s="1">
        <v>7494.41</v>
      </c>
      <c r="R625" s="1">
        <v>42</v>
      </c>
      <c r="S625" s="1">
        <v>80.8</v>
      </c>
    </row>
    <row r="626" spans="1:19" ht="15">
      <c r="A626" s="1">
        <v>35</v>
      </c>
      <c r="B626" s="1" t="s">
        <v>60</v>
      </c>
      <c r="C626" s="1" t="s">
        <v>56</v>
      </c>
      <c r="D626" s="1">
        <v>2025</v>
      </c>
      <c r="E626" s="1" t="s">
        <v>21</v>
      </c>
      <c r="F626" s="1">
        <v>127774027</v>
      </c>
      <c r="G626" s="1">
        <v>61601468</v>
      </c>
      <c r="H626" s="1">
        <v>66172559</v>
      </c>
      <c r="I626" s="1">
        <v>8058111</v>
      </c>
      <c r="J626" s="1">
        <v>358748</v>
      </c>
      <c r="K626" s="1">
        <v>6.31</v>
      </c>
      <c r="L626" s="1">
        <v>15.25</v>
      </c>
      <c r="M626" s="1">
        <v>21.83</v>
      </c>
      <c r="N626" s="1">
        <v>13.97</v>
      </c>
      <c r="O626" s="1">
        <v>35.979999999999997</v>
      </c>
      <c r="P626" s="1">
        <v>31.6</v>
      </c>
      <c r="Q626" s="1">
        <v>6116.34</v>
      </c>
      <c r="R626" s="1">
        <v>63</v>
      </c>
      <c r="S626" s="1">
        <v>72.400000000000006</v>
      </c>
    </row>
    <row r="627" spans="1:19" ht="15">
      <c r="A627" s="1">
        <v>35</v>
      </c>
      <c r="B627" s="1" t="s">
        <v>60</v>
      </c>
      <c r="C627" s="1" t="s">
        <v>56</v>
      </c>
      <c r="D627" s="1">
        <v>2025</v>
      </c>
      <c r="E627" s="1" t="s">
        <v>22</v>
      </c>
      <c r="F627" s="1">
        <v>162900283</v>
      </c>
      <c r="G627" s="1">
        <v>78911826</v>
      </c>
      <c r="H627" s="1">
        <v>83988457</v>
      </c>
      <c r="I627" s="1">
        <v>9174867</v>
      </c>
      <c r="J627" s="1">
        <v>641207</v>
      </c>
      <c r="K627" s="1">
        <v>5.63</v>
      </c>
      <c r="L627" s="1">
        <v>21.91</v>
      </c>
      <c r="M627" s="1">
        <v>14.16</v>
      </c>
      <c r="N627" s="1">
        <v>12.4</v>
      </c>
      <c r="O627" s="1">
        <v>28.14</v>
      </c>
      <c r="P627" s="1">
        <v>15.07</v>
      </c>
      <c r="Q627" s="1">
        <v>6020.62</v>
      </c>
      <c r="R627" s="1">
        <v>77</v>
      </c>
      <c r="S627" s="1">
        <v>75.2</v>
      </c>
    </row>
    <row r="628" spans="1:19" ht="15">
      <c r="A628" s="1">
        <v>35</v>
      </c>
      <c r="B628" s="1" t="s">
        <v>60</v>
      </c>
      <c r="C628" s="1" t="s">
        <v>56</v>
      </c>
      <c r="D628" s="1">
        <v>2025</v>
      </c>
      <c r="E628" s="1" t="s">
        <v>23</v>
      </c>
      <c r="F628" s="1">
        <v>37590911</v>
      </c>
      <c r="G628" s="1">
        <v>18502937</v>
      </c>
      <c r="H628" s="1">
        <v>19087974</v>
      </c>
      <c r="I628" s="1">
        <v>2159571</v>
      </c>
      <c r="J628" s="1">
        <v>73841</v>
      </c>
      <c r="K628" s="1">
        <v>5.74</v>
      </c>
      <c r="L628" s="1">
        <v>26.73</v>
      </c>
      <c r="M628" s="1">
        <v>21.73</v>
      </c>
      <c r="N628" s="1">
        <v>10.19</v>
      </c>
      <c r="O628" s="1">
        <v>36.85</v>
      </c>
      <c r="P628" s="1">
        <v>29.18</v>
      </c>
      <c r="Q628" s="1">
        <v>3568.13</v>
      </c>
      <c r="R628" s="1">
        <v>48</v>
      </c>
      <c r="S628" s="1">
        <v>65</v>
      </c>
    </row>
    <row r="629" spans="1:19" ht="15">
      <c r="A629" s="1">
        <v>35</v>
      </c>
      <c r="B629" s="1" t="s">
        <v>60</v>
      </c>
      <c r="C629" s="1" t="s">
        <v>56</v>
      </c>
      <c r="D629" s="1">
        <v>2026</v>
      </c>
      <c r="E629" s="1" t="s">
        <v>21</v>
      </c>
      <c r="F629" s="1">
        <v>122475632</v>
      </c>
      <c r="G629" s="1">
        <v>61752675</v>
      </c>
      <c r="H629" s="1">
        <v>60722957</v>
      </c>
      <c r="I629" s="1">
        <v>6163139</v>
      </c>
      <c r="J629" s="1">
        <v>465967</v>
      </c>
      <c r="K629" s="1">
        <v>5.03</v>
      </c>
      <c r="L629" s="1">
        <v>10.41</v>
      </c>
      <c r="M629" s="1">
        <v>21.95</v>
      </c>
      <c r="N629" s="1">
        <v>7.82</v>
      </c>
      <c r="O629" s="1">
        <v>30.92</v>
      </c>
      <c r="P629" s="1">
        <v>26.34</v>
      </c>
      <c r="Q629" s="1">
        <v>11741.64</v>
      </c>
      <c r="R629" s="1">
        <v>78</v>
      </c>
      <c r="S629" s="1">
        <v>76.8</v>
      </c>
    </row>
    <row r="630" spans="1:19" ht="15">
      <c r="A630" s="1">
        <v>35</v>
      </c>
      <c r="B630" s="1" t="s">
        <v>60</v>
      </c>
      <c r="C630" s="1" t="s">
        <v>56</v>
      </c>
      <c r="D630" s="1">
        <v>2026</v>
      </c>
      <c r="E630" s="1" t="s">
        <v>22</v>
      </c>
      <c r="F630" s="1">
        <v>196184148</v>
      </c>
      <c r="G630" s="1">
        <v>94642624</v>
      </c>
      <c r="H630" s="1">
        <v>101541524</v>
      </c>
      <c r="I630" s="1">
        <v>13815008</v>
      </c>
      <c r="J630" s="1">
        <v>1098795</v>
      </c>
      <c r="K630" s="1">
        <v>7.04</v>
      </c>
      <c r="L630" s="1">
        <v>29.18</v>
      </c>
      <c r="M630" s="1">
        <v>21.82</v>
      </c>
      <c r="N630" s="1">
        <v>14.75</v>
      </c>
      <c r="O630" s="1">
        <v>35.24</v>
      </c>
      <c r="P630" s="1">
        <v>26.54</v>
      </c>
      <c r="Q630" s="1">
        <v>6547.18</v>
      </c>
      <c r="R630" s="1">
        <v>62</v>
      </c>
      <c r="S630" s="1">
        <v>66.7</v>
      </c>
    </row>
    <row r="631" spans="1:19" ht="15">
      <c r="A631" s="1">
        <v>35</v>
      </c>
      <c r="B631" s="1" t="s">
        <v>60</v>
      </c>
      <c r="C631" s="1" t="s">
        <v>56</v>
      </c>
      <c r="D631" s="1">
        <v>2026</v>
      </c>
      <c r="E631" s="1" t="s">
        <v>23</v>
      </c>
      <c r="F631" s="1">
        <v>156453086</v>
      </c>
      <c r="G631" s="1">
        <v>78583968</v>
      </c>
      <c r="H631" s="1">
        <v>77869118</v>
      </c>
      <c r="I631" s="1">
        <v>14093940</v>
      </c>
      <c r="J631" s="1">
        <v>465287</v>
      </c>
      <c r="K631" s="1">
        <v>9.01</v>
      </c>
      <c r="L631" s="1">
        <v>24.61</v>
      </c>
      <c r="M631" s="1">
        <v>19.920000000000002</v>
      </c>
      <c r="N631" s="1">
        <v>7.57</v>
      </c>
      <c r="O631" s="1">
        <v>36.590000000000003</v>
      </c>
      <c r="P631" s="1">
        <v>25.58</v>
      </c>
      <c r="Q631" s="1">
        <v>696.76</v>
      </c>
      <c r="R631" s="1">
        <v>41</v>
      </c>
      <c r="S631" s="1">
        <v>79.7</v>
      </c>
    </row>
    <row r="632" spans="1:19" ht="15">
      <c r="A632" s="1">
        <v>36</v>
      </c>
      <c r="B632" s="1" t="s">
        <v>61</v>
      </c>
      <c r="C632" s="1" t="s">
        <v>56</v>
      </c>
      <c r="D632" s="1">
        <v>2021</v>
      </c>
      <c r="E632" s="1" t="s">
        <v>21</v>
      </c>
      <c r="F632" s="1">
        <v>196703730</v>
      </c>
      <c r="G632" s="1">
        <v>98265953</v>
      </c>
      <c r="H632" s="1">
        <v>98437777</v>
      </c>
      <c r="I632" s="1">
        <v>15312472</v>
      </c>
      <c r="J632" s="1">
        <v>1147490</v>
      </c>
      <c r="K632" s="1">
        <v>7.78</v>
      </c>
      <c r="L632" s="1">
        <v>28.13</v>
      </c>
      <c r="M632" s="1">
        <v>11.93</v>
      </c>
      <c r="N632" s="1">
        <v>14.05</v>
      </c>
      <c r="O632" s="1">
        <v>28.15</v>
      </c>
      <c r="P632" s="1">
        <v>32.299999999999997</v>
      </c>
      <c r="Q632" s="1">
        <v>5623.63</v>
      </c>
      <c r="R632" s="1">
        <v>61</v>
      </c>
      <c r="S632" s="1">
        <v>69.599999999999994</v>
      </c>
    </row>
    <row r="633" spans="1:19" ht="15">
      <c r="A633" s="1">
        <v>36</v>
      </c>
      <c r="B633" s="1" t="s">
        <v>61</v>
      </c>
      <c r="C633" s="1" t="s">
        <v>56</v>
      </c>
      <c r="D633" s="1">
        <v>2021</v>
      </c>
      <c r="E633" s="1" t="s">
        <v>22</v>
      </c>
      <c r="F633" s="1">
        <v>137417631</v>
      </c>
      <c r="G633" s="1">
        <v>69600515</v>
      </c>
      <c r="H633" s="1">
        <v>67817116</v>
      </c>
      <c r="I633" s="1">
        <v>11503394</v>
      </c>
      <c r="J633" s="1">
        <v>721865</v>
      </c>
      <c r="K633" s="1">
        <v>8.3699999999999992</v>
      </c>
      <c r="L633" s="1">
        <v>19.78</v>
      </c>
      <c r="M633" s="1">
        <v>13.87</v>
      </c>
      <c r="N633" s="1">
        <v>6.35</v>
      </c>
      <c r="O633" s="1">
        <v>23.61</v>
      </c>
      <c r="P633" s="1">
        <v>28.08</v>
      </c>
      <c r="Q633" s="1">
        <v>5677.88</v>
      </c>
      <c r="R633" s="1">
        <v>57</v>
      </c>
      <c r="S633" s="1">
        <v>80.599999999999994</v>
      </c>
    </row>
    <row r="634" spans="1:19" ht="15">
      <c r="A634" s="1">
        <v>36</v>
      </c>
      <c r="B634" s="1" t="s">
        <v>61</v>
      </c>
      <c r="C634" s="1" t="s">
        <v>56</v>
      </c>
      <c r="D634" s="1">
        <v>2021</v>
      </c>
      <c r="E634" s="1" t="s">
        <v>23</v>
      </c>
      <c r="F634" s="1">
        <v>17187598</v>
      </c>
      <c r="G634" s="1">
        <v>8600824</v>
      </c>
      <c r="H634" s="1">
        <v>8586774</v>
      </c>
      <c r="I634" s="1">
        <v>1253451</v>
      </c>
      <c r="J634" s="1">
        <v>39634</v>
      </c>
      <c r="K634" s="1">
        <v>7.29</v>
      </c>
      <c r="L634" s="1">
        <v>28.46</v>
      </c>
      <c r="M634" s="1">
        <v>12.36</v>
      </c>
      <c r="N634" s="1">
        <v>6.29</v>
      </c>
      <c r="O634" s="1">
        <v>33.33</v>
      </c>
      <c r="P634" s="1">
        <v>22.1</v>
      </c>
      <c r="Q634" s="1">
        <v>7093.09</v>
      </c>
      <c r="R634" s="1">
        <v>60</v>
      </c>
      <c r="S634" s="1">
        <v>66.8</v>
      </c>
    </row>
    <row r="635" spans="1:19" ht="15">
      <c r="A635" s="1">
        <v>36</v>
      </c>
      <c r="B635" s="1" t="s">
        <v>61</v>
      </c>
      <c r="C635" s="1" t="s">
        <v>56</v>
      </c>
      <c r="D635" s="1">
        <v>2022</v>
      </c>
      <c r="E635" s="1" t="s">
        <v>21</v>
      </c>
      <c r="F635" s="1">
        <v>128899302</v>
      </c>
      <c r="G635" s="1">
        <v>63388794</v>
      </c>
      <c r="H635" s="1">
        <v>65510508</v>
      </c>
      <c r="I635" s="1">
        <v>11561574</v>
      </c>
      <c r="J635" s="1">
        <v>501771</v>
      </c>
      <c r="K635" s="1">
        <v>8.9700000000000006</v>
      </c>
      <c r="L635" s="1">
        <v>29.24</v>
      </c>
      <c r="M635" s="1">
        <v>27.8</v>
      </c>
      <c r="N635" s="1">
        <v>11.4</v>
      </c>
      <c r="O635" s="1">
        <v>37.11</v>
      </c>
      <c r="P635" s="1">
        <v>34.29</v>
      </c>
      <c r="Q635" s="1">
        <v>1891.77</v>
      </c>
      <c r="R635" s="1">
        <v>40</v>
      </c>
      <c r="S635" s="1">
        <v>69.7</v>
      </c>
    </row>
    <row r="636" spans="1:19" ht="15">
      <c r="A636" s="1">
        <v>36</v>
      </c>
      <c r="B636" s="1" t="s">
        <v>61</v>
      </c>
      <c r="C636" s="1" t="s">
        <v>56</v>
      </c>
      <c r="D636" s="1">
        <v>2022</v>
      </c>
      <c r="E636" s="1" t="s">
        <v>22</v>
      </c>
      <c r="F636" s="1">
        <v>117134394</v>
      </c>
      <c r="G636" s="1">
        <v>58954430</v>
      </c>
      <c r="H636" s="1">
        <v>58179964</v>
      </c>
      <c r="I636" s="1">
        <v>9517043</v>
      </c>
      <c r="J636" s="1">
        <v>525658</v>
      </c>
      <c r="K636" s="1">
        <v>8.1199999999999992</v>
      </c>
      <c r="L636" s="1">
        <v>11.97</v>
      </c>
      <c r="M636" s="1">
        <v>26.71</v>
      </c>
      <c r="N636" s="1">
        <v>11.12</v>
      </c>
      <c r="O636" s="1">
        <v>25.58</v>
      </c>
      <c r="P636" s="1">
        <v>16.98</v>
      </c>
      <c r="Q636" s="1">
        <v>11085.52</v>
      </c>
      <c r="R636" s="1">
        <v>66</v>
      </c>
      <c r="S636" s="1">
        <v>72.099999999999994</v>
      </c>
    </row>
    <row r="637" spans="1:19" ht="15">
      <c r="A637" s="1">
        <v>36</v>
      </c>
      <c r="B637" s="1" t="s">
        <v>61</v>
      </c>
      <c r="C637" s="1" t="s">
        <v>56</v>
      </c>
      <c r="D637" s="1">
        <v>2022</v>
      </c>
      <c r="E637" s="1" t="s">
        <v>23</v>
      </c>
      <c r="F637" s="1">
        <v>139053228</v>
      </c>
      <c r="G637" s="1">
        <v>69604360</v>
      </c>
      <c r="H637" s="1">
        <v>69448868</v>
      </c>
      <c r="I637" s="1">
        <v>8051402</v>
      </c>
      <c r="J637" s="1">
        <v>317102</v>
      </c>
      <c r="K637" s="1">
        <v>5.79</v>
      </c>
      <c r="L637" s="1">
        <v>25.95</v>
      </c>
      <c r="M637" s="1">
        <v>11.04</v>
      </c>
      <c r="N637" s="1">
        <v>8.68</v>
      </c>
      <c r="O637" s="1">
        <v>39.130000000000003</v>
      </c>
      <c r="P637" s="1">
        <v>19.98</v>
      </c>
      <c r="Q637" s="1">
        <v>2314.41</v>
      </c>
      <c r="R637" s="1">
        <v>47</v>
      </c>
      <c r="S637" s="1">
        <v>64.8</v>
      </c>
    </row>
    <row r="638" spans="1:19" ht="15">
      <c r="A638" s="1">
        <v>36</v>
      </c>
      <c r="B638" s="1" t="s">
        <v>61</v>
      </c>
      <c r="C638" s="1" t="s">
        <v>56</v>
      </c>
      <c r="D638" s="1">
        <v>2023</v>
      </c>
      <c r="E638" s="1" t="s">
        <v>21</v>
      </c>
      <c r="F638" s="1">
        <v>44222687</v>
      </c>
      <c r="G638" s="1">
        <v>22374169</v>
      </c>
      <c r="H638" s="1">
        <v>21848518</v>
      </c>
      <c r="I638" s="1">
        <v>2752771</v>
      </c>
      <c r="J638" s="1">
        <v>147767</v>
      </c>
      <c r="K638" s="1">
        <v>6.22</v>
      </c>
      <c r="L638" s="1">
        <v>27.58</v>
      </c>
      <c r="M638" s="1">
        <v>12.95</v>
      </c>
      <c r="N638" s="1">
        <v>6.87</v>
      </c>
      <c r="O638" s="1">
        <v>23.74</v>
      </c>
      <c r="P638" s="1">
        <v>28.57</v>
      </c>
      <c r="Q638" s="1">
        <v>5915.69</v>
      </c>
      <c r="R638" s="1">
        <v>75</v>
      </c>
      <c r="S638" s="1">
        <v>73.900000000000006</v>
      </c>
    </row>
    <row r="639" spans="1:19" ht="15">
      <c r="A639" s="1">
        <v>36</v>
      </c>
      <c r="B639" s="1" t="s">
        <v>61</v>
      </c>
      <c r="C639" s="1" t="s">
        <v>56</v>
      </c>
      <c r="D639" s="1">
        <v>2023</v>
      </c>
      <c r="E639" s="1" t="s">
        <v>22</v>
      </c>
      <c r="F639" s="1">
        <v>42519761</v>
      </c>
      <c r="G639" s="1">
        <v>21409883</v>
      </c>
      <c r="H639" s="1">
        <v>21109878</v>
      </c>
      <c r="I639" s="1">
        <v>2445614</v>
      </c>
      <c r="J639" s="1">
        <v>130466</v>
      </c>
      <c r="K639" s="1">
        <v>5.75</v>
      </c>
      <c r="L639" s="1">
        <v>21.41</v>
      </c>
      <c r="M639" s="1">
        <v>24.8</v>
      </c>
      <c r="N639" s="1">
        <v>7.71</v>
      </c>
      <c r="O639" s="1">
        <v>26.2</v>
      </c>
      <c r="P639" s="1">
        <v>18.75</v>
      </c>
      <c r="Q639" s="1">
        <v>4492.54</v>
      </c>
      <c r="R639" s="1">
        <v>67</v>
      </c>
      <c r="S639" s="1">
        <v>67.099999999999994</v>
      </c>
    </row>
    <row r="640" spans="1:19" ht="15">
      <c r="A640" s="1">
        <v>36</v>
      </c>
      <c r="B640" s="1" t="s">
        <v>61</v>
      </c>
      <c r="C640" s="1" t="s">
        <v>56</v>
      </c>
      <c r="D640" s="1">
        <v>2023</v>
      </c>
      <c r="E640" s="1" t="s">
        <v>23</v>
      </c>
      <c r="F640" s="1">
        <v>17497630</v>
      </c>
      <c r="G640" s="1">
        <v>8516273</v>
      </c>
      <c r="H640" s="1">
        <v>8981357</v>
      </c>
      <c r="I640" s="1">
        <v>1513272</v>
      </c>
      <c r="J640" s="1">
        <v>63026</v>
      </c>
      <c r="K640" s="1">
        <v>8.65</v>
      </c>
      <c r="L640" s="1">
        <v>11.89</v>
      </c>
      <c r="M640" s="1">
        <v>20.37</v>
      </c>
      <c r="N640" s="1">
        <v>7.98</v>
      </c>
      <c r="O640" s="1">
        <v>21.38</v>
      </c>
      <c r="P640" s="1">
        <v>33.24</v>
      </c>
      <c r="Q640" s="1">
        <v>11652.86</v>
      </c>
      <c r="R640" s="1">
        <v>62</v>
      </c>
      <c r="S640" s="1">
        <v>64.099999999999994</v>
      </c>
    </row>
    <row r="641" spans="1:19" ht="15">
      <c r="A641" s="1">
        <v>36</v>
      </c>
      <c r="B641" s="1" t="s">
        <v>61</v>
      </c>
      <c r="C641" s="1" t="s">
        <v>56</v>
      </c>
      <c r="D641" s="1">
        <v>2024</v>
      </c>
      <c r="E641" s="1" t="s">
        <v>21</v>
      </c>
      <c r="F641" s="1">
        <v>86166685</v>
      </c>
      <c r="G641" s="1">
        <v>42479332</v>
      </c>
      <c r="H641" s="1">
        <v>43687353</v>
      </c>
      <c r="I641" s="1">
        <v>8213861</v>
      </c>
      <c r="J641" s="1">
        <v>617162</v>
      </c>
      <c r="K641" s="1">
        <v>9.5299999999999994</v>
      </c>
      <c r="L641" s="1">
        <v>26.13</v>
      </c>
      <c r="M641" s="1">
        <v>16.66</v>
      </c>
      <c r="N641" s="1">
        <v>11.52</v>
      </c>
      <c r="O641" s="1">
        <v>30.36</v>
      </c>
      <c r="P641" s="1">
        <v>20.56</v>
      </c>
      <c r="Q641" s="1">
        <v>9261.49</v>
      </c>
      <c r="R641" s="1">
        <v>47</v>
      </c>
      <c r="S641" s="1">
        <v>82.2</v>
      </c>
    </row>
    <row r="642" spans="1:19" ht="15">
      <c r="A642" s="1">
        <v>36</v>
      </c>
      <c r="B642" s="1" t="s">
        <v>61</v>
      </c>
      <c r="C642" s="1" t="s">
        <v>56</v>
      </c>
      <c r="D642" s="1">
        <v>2024</v>
      </c>
      <c r="E642" s="1" t="s">
        <v>22</v>
      </c>
      <c r="F642" s="1">
        <v>134864447</v>
      </c>
      <c r="G642" s="1">
        <v>64931233</v>
      </c>
      <c r="H642" s="1">
        <v>69933214</v>
      </c>
      <c r="I642" s="1">
        <v>13429100</v>
      </c>
      <c r="J642" s="1">
        <v>872285</v>
      </c>
      <c r="K642" s="1">
        <v>9.9600000000000009</v>
      </c>
      <c r="L642" s="1">
        <v>13.8</v>
      </c>
      <c r="M642" s="1">
        <v>30.27</v>
      </c>
      <c r="N642" s="1">
        <v>13.36</v>
      </c>
      <c r="O642" s="1">
        <v>27.71</v>
      </c>
      <c r="P642" s="1">
        <v>35.29</v>
      </c>
      <c r="Q642" s="1">
        <v>6556.07</v>
      </c>
      <c r="R642" s="1">
        <v>74</v>
      </c>
      <c r="S642" s="1">
        <v>80.900000000000006</v>
      </c>
    </row>
    <row r="643" spans="1:19" ht="15">
      <c r="A643" s="1">
        <v>36</v>
      </c>
      <c r="B643" s="1" t="s">
        <v>61</v>
      </c>
      <c r="C643" s="1" t="s">
        <v>56</v>
      </c>
      <c r="D643" s="1">
        <v>2024</v>
      </c>
      <c r="E643" s="1" t="s">
        <v>23</v>
      </c>
      <c r="F643" s="1">
        <v>172309305</v>
      </c>
      <c r="G643" s="1">
        <v>83815404</v>
      </c>
      <c r="H643" s="1">
        <v>88493901</v>
      </c>
      <c r="I643" s="1">
        <v>12389625</v>
      </c>
      <c r="J643" s="1">
        <v>956023</v>
      </c>
      <c r="K643" s="1">
        <v>7.19</v>
      </c>
      <c r="L643" s="1">
        <v>15.9</v>
      </c>
      <c r="M643" s="1">
        <v>13.79</v>
      </c>
      <c r="N643" s="1">
        <v>13.71</v>
      </c>
      <c r="O643" s="1">
        <v>20.079999999999998</v>
      </c>
      <c r="P643" s="1">
        <v>37.380000000000003</v>
      </c>
      <c r="Q643" s="1">
        <v>2543.2399999999998</v>
      </c>
      <c r="R643" s="1">
        <v>62</v>
      </c>
      <c r="S643" s="1">
        <v>79.900000000000006</v>
      </c>
    </row>
    <row r="644" spans="1:19" ht="15">
      <c r="A644" s="1">
        <v>36</v>
      </c>
      <c r="B644" s="1" t="s">
        <v>61</v>
      </c>
      <c r="C644" s="1" t="s">
        <v>56</v>
      </c>
      <c r="D644" s="1">
        <v>2025</v>
      </c>
      <c r="E644" s="1" t="s">
        <v>21</v>
      </c>
      <c r="F644" s="1">
        <v>82978164</v>
      </c>
      <c r="G644" s="1">
        <v>39854654</v>
      </c>
      <c r="H644" s="1">
        <v>43123510</v>
      </c>
      <c r="I644" s="1">
        <v>7416960</v>
      </c>
      <c r="J644" s="1">
        <v>257808</v>
      </c>
      <c r="K644" s="1">
        <v>8.94</v>
      </c>
      <c r="L644" s="1">
        <v>22.81</v>
      </c>
      <c r="M644" s="1">
        <v>19.399999999999999</v>
      </c>
      <c r="N644" s="1">
        <v>9.2899999999999991</v>
      </c>
      <c r="O644" s="1">
        <v>37.299999999999997</v>
      </c>
      <c r="P644" s="1">
        <v>30.64</v>
      </c>
      <c r="Q644" s="1">
        <v>2686.94</v>
      </c>
      <c r="R644" s="1">
        <v>70</v>
      </c>
      <c r="S644" s="1">
        <v>69.099999999999994</v>
      </c>
    </row>
    <row r="645" spans="1:19" ht="15">
      <c r="A645" s="1">
        <v>36</v>
      </c>
      <c r="B645" s="1" t="s">
        <v>61</v>
      </c>
      <c r="C645" s="1" t="s">
        <v>56</v>
      </c>
      <c r="D645" s="1">
        <v>2025</v>
      </c>
      <c r="E645" s="1" t="s">
        <v>22</v>
      </c>
      <c r="F645" s="1">
        <v>34995299</v>
      </c>
      <c r="G645" s="1">
        <v>17397303</v>
      </c>
      <c r="H645" s="1">
        <v>17597996</v>
      </c>
      <c r="I645" s="1">
        <v>2304132</v>
      </c>
      <c r="J645" s="1">
        <v>125816</v>
      </c>
      <c r="K645" s="1">
        <v>6.58</v>
      </c>
      <c r="L645" s="1">
        <v>16.25</v>
      </c>
      <c r="M645" s="1">
        <v>12.48</v>
      </c>
      <c r="N645" s="1">
        <v>12.77</v>
      </c>
      <c r="O645" s="1">
        <v>32.6</v>
      </c>
      <c r="P645" s="1">
        <v>37.1</v>
      </c>
      <c r="Q645" s="1">
        <v>7663.3</v>
      </c>
      <c r="R645" s="1">
        <v>81</v>
      </c>
      <c r="S645" s="1">
        <v>67.099999999999994</v>
      </c>
    </row>
    <row r="646" spans="1:19" ht="15">
      <c r="A646" s="1">
        <v>36</v>
      </c>
      <c r="B646" s="1" t="s">
        <v>61</v>
      </c>
      <c r="C646" s="1" t="s">
        <v>56</v>
      </c>
      <c r="D646" s="1">
        <v>2025</v>
      </c>
      <c r="E646" s="1" t="s">
        <v>23</v>
      </c>
      <c r="F646" s="1">
        <v>20543517</v>
      </c>
      <c r="G646" s="1">
        <v>9961175</v>
      </c>
      <c r="H646" s="1">
        <v>10582342</v>
      </c>
      <c r="I646" s="1">
        <v>1782012</v>
      </c>
      <c r="J646" s="1">
        <v>60272</v>
      </c>
      <c r="K646" s="1">
        <v>8.67</v>
      </c>
      <c r="L646" s="1">
        <v>18.010000000000002</v>
      </c>
      <c r="M646" s="1">
        <v>12.33</v>
      </c>
      <c r="N646" s="1">
        <v>12.28</v>
      </c>
      <c r="O646" s="1">
        <v>24.27</v>
      </c>
      <c r="P646" s="1">
        <v>28.15</v>
      </c>
      <c r="Q646" s="1">
        <v>3519.38</v>
      </c>
      <c r="R646" s="1">
        <v>58</v>
      </c>
      <c r="S646" s="1">
        <v>71.900000000000006</v>
      </c>
    </row>
    <row r="647" spans="1:19" ht="15">
      <c r="A647" s="1">
        <v>36</v>
      </c>
      <c r="B647" s="1" t="s">
        <v>61</v>
      </c>
      <c r="C647" s="1" t="s">
        <v>56</v>
      </c>
      <c r="D647" s="1">
        <v>2026</v>
      </c>
      <c r="E647" s="1" t="s">
        <v>21</v>
      </c>
      <c r="F647" s="1">
        <v>69566339</v>
      </c>
      <c r="G647" s="1">
        <v>34841022</v>
      </c>
      <c r="H647" s="1">
        <v>34725317</v>
      </c>
      <c r="I647" s="1">
        <v>3605200</v>
      </c>
      <c r="J647" s="1">
        <v>201839</v>
      </c>
      <c r="K647" s="1">
        <v>5.18</v>
      </c>
      <c r="L647" s="1">
        <v>16.37</v>
      </c>
      <c r="M647" s="1">
        <v>15.58</v>
      </c>
      <c r="N647" s="1">
        <v>5.39</v>
      </c>
      <c r="O647" s="1">
        <v>31.76</v>
      </c>
      <c r="P647" s="1">
        <v>24.35</v>
      </c>
      <c r="Q647" s="1">
        <v>6827.35</v>
      </c>
      <c r="R647" s="1">
        <v>54</v>
      </c>
      <c r="S647" s="1">
        <v>64</v>
      </c>
    </row>
    <row r="648" spans="1:19" ht="15">
      <c r="A648" s="1">
        <v>36</v>
      </c>
      <c r="B648" s="1" t="s">
        <v>61</v>
      </c>
      <c r="C648" s="1" t="s">
        <v>56</v>
      </c>
      <c r="D648" s="1">
        <v>2026</v>
      </c>
      <c r="E648" s="1" t="s">
        <v>22</v>
      </c>
      <c r="F648" s="1">
        <v>46728643</v>
      </c>
      <c r="G648" s="1">
        <v>22496669</v>
      </c>
      <c r="H648" s="1">
        <v>24231974</v>
      </c>
      <c r="I648" s="1">
        <v>2973219</v>
      </c>
      <c r="J648" s="1">
        <v>121195</v>
      </c>
      <c r="K648" s="1">
        <v>6.36</v>
      </c>
      <c r="L648" s="1">
        <v>20.55</v>
      </c>
      <c r="M648" s="1">
        <v>11.77</v>
      </c>
      <c r="N648" s="1">
        <v>14.31</v>
      </c>
      <c r="O648" s="1">
        <v>38.630000000000003</v>
      </c>
      <c r="P648" s="1">
        <v>32.909999999999997</v>
      </c>
      <c r="Q648" s="1">
        <v>10816.36</v>
      </c>
      <c r="R648" s="1">
        <v>44</v>
      </c>
      <c r="S648" s="1">
        <v>71.599999999999994</v>
      </c>
    </row>
    <row r="649" spans="1:19" ht="15">
      <c r="A649" s="1">
        <v>36</v>
      </c>
      <c r="B649" s="1" t="s">
        <v>61</v>
      </c>
      <c r="C649" s="1" t="s">
        <v>56</v>
      </c>
      <c r="D649" s="1">
        <v>2026</v>
      </c>
      <c r="E649" s="1" t="s">
        <v>23</v>
      </c>
      <c r="F649" s="1">
        <v>165488839</v>
      </c>
      <c r="G649" s="1">
        <v>83796975</v>
      </c>
      <c r="H649" s="1">
        <v>81691864</v>
      </c>
      <c r="I649" s="1">
        <v>10364461</v>
      </c>
      <c r="J649" s="1">
        <v>690018</v>
      </c>
      <c r="K649" s="1">
        <v>6.26</v>
      </c>
      <c r="L649" s="1">
        <v>19.16</v>
      </c>
      <c r="M649" s="1">
        <v>26.26</v>
      </c>
      <c r="N649" s="1">
        <v>7.21</v>
      </c>
      <c r="O649" s="1">
        <v>38.659999999999997</v>
      </c>
      <c r="P649" s="1">
        <v>25.19</v>
      </c>
      <c r="Q649" s="1">
        <v>11280.09</v>
      </c>
      <c r="R649" s="1">
        <v>81</v>
      </c>
      <c r="S649" s="1">
        <v>74.7</v>
      </c>
    </row>
    <row r="650" spans="1:19" ht="15">
      <c r="A650" s="1">
        <v>37</v>
      </c>
      <c r="B650" s="1" t="s">
        <v>62</v>
      </c>
      <c r="C650" s="1" t="s">
        <v>56</v>
      </c>
      <c r="D650" s="1">
        <v>2021</v>
      </c>
      <c r="E650" s="1" t="s">
        <v>21</v>
      </c>
      <c r="F650" s="1">
        <v>62972022</v>
      </c>
      <c r="G650" s="1">
        <v>32320981</v>
      </c>
      <c r="H650" s="1">
        <v>30651041</v>
      </c>
      <c r="I650" s="1">
        <v>4476478</v>
      </c>
      <c r="J650" s="1">
        <v>298568</v>
      </c>
      <c r="K650" s="1">
        <v>7.11</v>
      </c>
      <c r="L650" s="1">
        <v>13.18</v>
      </c>
      <c r="M650" s="1">
        <v>28.26</v>
      </c>
      <c r="N650" s="1">
        <v>12.45</v>
      </c>
      <c r="O650" s="1">
        <v>24.81</v>
      </c>
      <c r="P650" s="1">
        <v>22.08</v>
      </c>
      <c r="Q650" s="1">
        <v>8224.7099999999991</v>
      </c>
      <c r="R650" s="1">
        <v>73</v>
      </c>
      <c r="S650" s="1">
        <v>71.5</v>
      </c>
    </row>
    <row r="651" spans="1:19" ht="15">
      <c r="A651" s="1">
        <v>37</v>
      </c>
      <c r="B651" s="1" t="s">
        <v>62</v>
      </c>
      <c r="C651" s="1" t="s">
        <v>56</v>
      </c>
      <c r="D651" s="1">
        <v>2021</v>
      </c>
      <c r="E651" s="1" t="s">
        <v>22</v>
      </c>
      <c r="F651" s="1">
        <v>93744398</v>
      </c>
      <c r="G651" s="1">
        <v>47868118</v>
      </c>
      <c r="H651" s="1">
        <v>45876280</v>
      </c>
      <c r="I651" s="1">
        <v>5383782</v>
      </c>
      <c r="J651" s="1">
        <v>278966</v>
      </c>
      <c r="K651" s="1">
        <v>5.74</v>
      </c>
      <c r="L651" s="1">
        <v>17.05</v>
      </c>
      <c r="M651" s="1">
        <v>29.39</v>
      </c>
      <c r="N651" s="1">
        <v>11.72</v>
      </c>
      <c r="O651" s="1">
        <v>20.28</v>
      </c>
      <c r="P651" s="1">
        <v>29.01</v>
      </c>
      <c r="Q651" s="1">
        <v>3591.28</v>
      </c>
      <c r="R651" s="1">
        <v>64</v>
      </c>
      <c r="S651" s="1">
        <v>61</v>
      </c>
    </row>
    <row r="652" spans="1:19" ht="15">
      <c r="A652" s="1">
        <v>37</v>
      </c>
      <c r="B652" s="1" t="s">
        <v>62</v>
      </c>
      <c r="C652" s="1" t="s">
        <v>56</v>
      </c>
      <c r="D652" s="1">
        <v>2021</v>
      </c>
      <c r="E652" s="1" t="s">
        <v>23</v>
      </c>
      <c r="F652" s="1">
        <v>60903080</v>
      </c>
      <c r="G652" s="1">
        <v>30268870</v>
      </c>
      <c r="H652" s="1">
        <v>30634210</v>
      </c>
      <c r="I652" s="1">
        <v>4389029</v>
      </c>
      <c r="J652" s="1">
        <v>151329</v>
      </c>
      <c r="K652" s="1">
        <v>7.21</v>
      </c>
      <c r="L652" s="1">
        <v>26.4</v>
      </c>
      <c r="M652" s="1">
        <v>23.09</v>
      </c>
      <c r="N652" s="1">
        <v>11.84</v>
      </c>
      <c r="O652" s="1">
        <v>25.18</v>
      </c>
      <c r="P652" s="1">
        <v>34.31</v>
      </c>
      <c r="Q652" s="1">
        <v>1145.79</v>
      </c>
      <c r="R652" s="1">
        <v>71</v>
      </c>
      <c r="S652" s="1">
        <v>65.5</v>
      </c>
    </row>
    <row r="653" spans="1:19" ht="15">
      <c r="A653" s="1">
        <v>37</v>
      </c>
      <c r="B653" s="1" t="s">
        <v>62</v>
      </c>
      <c r="C653" s="1" t="s">
        <v>56</v>
      </c>
      <c r="D653" s="1">
        <v>2022</v>
      </c>
      <c r="E653" s="1" t="s">
        <v>21</v>
      </c>
      <c r="F653" s="1">
        <v>58798076</v>
      </c>
      <c r="G653" s="1">
        <v>29642183</v>
      </c>
      <c r="H653" s="1">
        <v>29155893</v>
      </c>
      <c r="I653" s="1">
        <v>4495916</v>
      </c>
      <c r="J653" s="1">
        <v>231218</v>
      </c>
      <c r="K653" s="1">
        <v>7.65</v>
      </c>
      <c r="L653" s="1">
        <v>24.17</v>
      </c>
      <c r="M653" s="1">
        <v>27.71</v>
      </c>
      <c r="N653" s="1">
        <v>12.79</v>
      </c>
      <c r="O653" s="1">
        <v>37.67</v>
      </c>
      <c r="P653" s="1">
        <v>38.43</v>
      </c>
      <c r="Q653" s="1">
        <v>780.9</v>
      </c>
      <c r="R653" s="1">
        <v>75</v>
      </c>
      <c r="S653" s="1">
        <v>80.7</v>
      </c>
    </row>
    <row r="654" spans="1:19" ht="15">
      <c r="A654" s="1">
        <v>37</v>
      </c>
      <c r="B654" s="1" t="s">
        <v>62</v>
      </c>
      <c r="C654" s="1" t="s">
        <v>56</v>
      </c>
      <c r="D654" s="1">
        <v>2022</v>
      </c>
      <c r="E654" s="1" t="s">
        <v>22</v>
      </c>
      <c r="F654" s="1">
        <v>164496131</v>
      </c>
      <c r="G654" s="1">
        <v>81237118</v>
      </c>
      <c r="H654" s="1">
        <v>83259013</v>
      </c>
      <c r="I654" s="1">
        <v>13890577</v>
      </c>
      <c r="J654" s="1">
        <v>612071</v>
      </c>
      <c r="K654" s="1">
        <v>8.44</v>
      </c>
      <c r="L654" s="1">
        <v>11.53</v>
      </c>
      <c r="M654" s="1">
        <v>20.87</v>
      </c>
      <c r="N654" s="1">
        <v>5.16</v>
      </c>
      <c r="O654" s="1">
        <v>22.69</v>
      </c>
      <c r="P654" s="1">
        <v>37.97</v>
      </c>
      <c r="Q654" s="1">
        <v>10908.96</v>
      </c>
      <c r="R654" s="1">
        <v>42</v>
      </c>
      <c r="S654" s="1">
        <v>61.4</v>
      </c>
    </row>
    <row r="655" spans="1:19" ht="15">
      <c r="A655" s="1">
        <v>37</v>
      </c>
      <c r="B655" s="1" t="s">
        <v>62</v>
      </c>
      <c r="C655" s="1" t="s">
        <v>56</v>
      </c>
      <c r="D655" s="1">
        <v>2022</v>
      </c>
      <c r="E655" s="1" t="s">
        <v>23</v>
      </c>
      <c r="F655" s="1">
        <v>149637578</v>
      </c>
      <c r="G655" s="1">
        <v>73467275</v>
      </c>
      <c r="H655" s="1">
        <v>76170303</v>
      </c>
      <c r="I655" s="1">
        <v>13956732</v>
      </c>
      <c r="J655" s="1">
        <v>863184</v>
      </c>
      <c r="K655" s="1">
        <v>9.33</v>
      </c>
      <c r="L655" s="1">
        <v>28.01</v>
      </c>
      <c r="M655" s="1">
        <v>27</v>
      </c>
      <c r="N655" s="1">
        <v>5.04</v>
      </c>
      <c r="O655" s="1">
        <v>31.32</v>
      </c>
      <c r="P655" s="1">
        <v>29.81</v>
      </c>
      <c r="Q655" s="1">
        <v>9030.39</v>
      </c>
      <c r="R655" s="1">
        <v>60</v>
      </c>
      <c r="S655" s="1">
        <v>74.7</v>
      </c>
    </row>
    <row r="656" spans="1:19" ht="15">
      <c r="A656" s="1">
        <v>37</v>
      </c>
      <c r="B656" s="1" t="s">
        <v>62</v>
      </c>
      <c r="C656" s="1" t="s">
        <v>56</v>
      </c>
      <c r="D656" s="1">
        <v>2023</v>
      </c>
      <c r="E656" s="1" t="s">
        <v>21</v>
      </c>
      <c r="F656" s="1">
        <v>89261789</v>
      </c>
      <c r="G656" s="1">
        <v>45085879</v>
      </c>
      <c r="H656" s="1">
        <v>44175910</v>
      </c>
      <c r="I656" s="1">
        <v>5675462</v>
      </c>
      <c r="J656" s="1">
        <v>383937</v>
      </c>
      <c r="K656" s="1">
        <v>6.36</v>
      </c>
      <c r="L656" s="1">
        <v>14.68</v>
      </c>
      <c r="M656" s="1">
        <v>18.2</v>
      </c>
      <c r="N656" s="1">
        <v>5.63</v>
      </c>
      <c r="O656" s="1">
        <v>39.549999999999997</v>
      </c>
      <c r="P656" s="1">
        <v>37.590000000000003</v>
      </c>
      <c r="Q656" s="1">
        <v>3355.68</v>
      </c>
      <c r="R656" s="1">
        <v>76</v>
      </c>
      <c r="S656" s="1">
        <v>74.099999999999994</v>
      </c>
    </row>
    <row r="657" spans="1:19" ht="15">
      <c r="A657" s="1">
        <v>37</v>
      </c>
      <c r="B657" s="1" t="s">
        <v>62</v>
      </c>
      <c r="C657" s="1" t="s">
        <v>56</v>
      </c>
      <c r="D657" s="1">
        <v>2023</v>
      </c>
      <c r="E657" s="1" t="s">
        <v>22</v>
      </c>
      <c r="F657" s="1">
        <v>178155836</v>
      </c>
      <c r="G657" s="1">
        <v>89922925</v>
      </c>
      <c r="H657" s="1">
        <v>88232911</v>
      </c>
      <c r="I657" s="1">
        <v>17455195</v>
      </c>
      <c r="J657" s="1">
        <v>819608</v>
      </c>
      <c r="K657" s="1">
        <v>9.8000000000000007</v>
      </c>
      <c r="L657" s="1">
        <v>21.06</v>
      </c>
      <c r="M657" s="1">
        <v>34.549999999999997</v>
      </c>
      <c r="N657" s="1">
        <v>10.81</v>
      </c>
      <c r="O657" s="1">
        <v>25.04</v>
      </c>
      <c r="P657" s="1">
        <v>32.090000000000003</v>
      </c>
      <c r="Q657" s="1">
        <v>11314.78</v>
      </c>
      <c r="R657" s="1">
        <v>75</v>
      </c>
      <c r="S657" s="1">
        <v>74.400000000000006</v>
      </c>
    </row>
    <row r="658" spans="1:19" ht="15">
      <c r="A658" s="1">
        <v>37</v>
      </c>
      <c r="B658" s="1" t="s">
        <v>62</v>
      </c>
      <c r="C658" s="1" t="s">
        <v>56</v>
      </c>
      <c r="D658" s="1">
        <v>2023</v>
      </c>
      <c r="E658" s="1" t="s">
        <v>23</v>
      </c>
      <c r="F658" s="1">
        <v>104937945</v>
      </c>
      <c r="G658" s="1">
        <v>51636808</v>
      </c>
      <c r="H658" s="1">
        <v>53301137</v>
      </c>
      <c r="I658" s="1">
        <v>7435121</v>
      </c>
      <c r="J658" s="1">
        <v>494660</v>
      </c>
      <c r="K658" s="1">
        <v>7.09</v>
      </c>
      <c r="L658" s="1">
        <v>24.86</v>
      </c>
      <c r="M658" s="1">
        <v>24.03</v>
      </c>
      <c r="N658" s="1">
        <v>10.029999999999999</v>
      </c>
      <c r="O658" s="1">
        <v>33.46</v>
      </c>
      <c r="P658" s="1">
        <v>30.87</v>
      </c>
      <c r="Q658" s="1">
        <v>5464.95</v>
      </c>
      <c r="R658" s="1">
        <v>46</v>
      </c>
      <c r="S658" s="1">
        <v>67</v>
      </c>
    </row>
    <row r="659" spans="1:19" ht="15">
      <c r="A659" s="1">
        <v>37</v>
      </c>
      <c r="B659" s="1" t="s">
        <v>62</v>
      </c>
      <c r="C659" s="1" t="s">
        <v>56</v>
      </c>
      <c r="D659" s="1">
        <v>2024</v>
      </c>
      <c r="E659" s="1" t="s">
        <v>21</v>
      </c>
      <c r="F659" s="1">
        <v>5823982</v>
      </c>
      <c r="G659" s="1">
        <v>2983146</v>
      </c>
      <c r="H659" s="1">
        <v>2840836</v>
      </c>
      <c r="I659" s="1">
        <v>500546</v>
      </c>
      <c r="J659" s="1">
        <v>21529</v>
      </c>
      <c r="K659" s="1">
        <v>8.59</v>
      </c>
      <c r="L659" s="1">
        <v>14.32</v>
      </c>
      <c r="M659" s="1">
        <v>33.53</v>
      </c>
      <c r="N659" s="1">
        <v>11.55</v>
      </c>
      <c r="O659" s="1">
        <v>25.23</v>
      </c>
      <c r="P659" s="1">
        <v>15.07</v>
      </c>
      <c r="Q659" s="1">
        <v>4563.49</v>
      </c>
      <c r="R659" s="1">
        <v>61</v>
      </c>
      <c r="S659" s="1">
        <v>80.099999999999994</v>
      </c>
    </row>
    <row r="660" spans="1:19" ht="15">
      <c r="A660" s="1">
        <v>37</v>
      </c>
      <c r="B660" s="1" t="s">
        <v>62</v>
      </c>
      <c r="C660" s="1" t="s">
        <v>56</v>
      </c>
      <c r="D660" s="1">
        <v>2024</v>
      </c>
      <c r="E660" s="1" t="s">
        <v>22</v>
      </c>
      <c r="F660" s="1">
        <v>156235174</v>
      </c>
      <c r="G660" s="1">
        <v>78764084</v>
      </c>
      <c r="H660" s="1">
        <v>77471090</v>
      </c>
      <c r="I660" s="1">
        <v>14917303</v>
      </c>
      <c r="J660" s="1">
        <v>1122734</v>
      </c>
      <c r="K660" s="1">
        <v>9.5500000000000007</v>
      </c>
      <c r="L660" s="1">
        <v>27.06</v>
      </c>
      <c r="M660" s="1">
        <v>26.08</v>
      </c>
      <c r="N660" s="1">
        <v>11.03</v>
      </c>
      <c r="O660" s="1">
        <v>34.32</v>
      </c>
      <c r="P660" s="1">
        <v>25.24</v>
      </c>
      <c r="Q660" s="1">
        <v>9122.16</v>
      </c>
      <c r="R660" s="1">
        <v>55</v>
      </c>
      <c r="S660" s="1">
        <v>60.5</v>
      </c>
    </row>
    <row r="661" spans="1:19" ht="15">
      <c r="A661" s="1">
        <v>37</v>
      </c>
      <c r="B661" s="1" t="s">
        <v>62</v>
      </c>
      <c r="C661" s="1" t="s">
        <v>56</v>
      </c>
      <c r="D661" s="1">
        <v>2024</v>
      </c>
      <c r="E661" s="1" t="s">
        <v>23</v>
      </c>
      <c r="F661" s="1">
        <v>97194452</v>
      </c>
      <c r="G661" s="1">
        <v>49441610</v>
      </c>
      <c r="H661" s="1">
        <v>47752842</v>
      </c>
      <c r="I661" s="1">
        <v>4916311</v>
      </c>
      <c r="J661" s="1">
        <v>321907</v>
      </c>
      <c r="K661" s="1">
        <v>5.0599999999999996</v>
      </c>
      <c r="L661" s="1">
        <v>21.58</v>
      </c>
      <c r="M661" s="1">
        <v>25.41</v>
      </c>
      <c r="N661" s="1">
        <v>11.49</v>
      </c>
      <c r="O661" s="1">
        <v>22.48</v>
      </c>
      <c r="P661" s="1">
        <v>16</v>
      </c>
      <c r="Q661" s="1">
        <v>2928.88</v>
      </c>
      <c r="R661" s="1">
        <v>82</v>
      </c>
      <c r="S661" s="1">
        <v>61.9</v>
      </c>
    </row>
    <row r="662" spans="1:19" ht="15">
      <c r="A662" s="1">
        <v>37</v>
      </c>
      <c r="B662" s="1" t="s">
        <v>62</v>
      </c>
      <c r="C662" s="1" t="s">
        <v>56</v>
      </c>
      <c r="D662" s="1">
        <v>2025</v>
      </c>
      <c r="E662" s="1" t="s">
        <v>21</v>
      </c>
      <c r="F662" s="1">
        <v>144722643</v>
      </c>
      <c r="G662" s="1">
        <v>73659615</v>
      </c>
      <c r="H662" s="1">
        <v>71063028</v>
      </c>
      <c r="I662" s="1">
        <v>9650667</v>
      </c>
      <c r="J662" s="1">
        <v>566545</v>
      </c>
      <c r="K662" s="1">
        <v>6.67</v>
      </c>
      <c r="L662" s="1">
        <v>15.13</v>
      </c>
      <c r="M662" s="1">
        <v>31.7</v>
      </c>
      <c r="N662" s="1">
        <v>5.7</v>
      </c>
      <c r="O662" s="1">
        <v>31.03</v>
      </c>
      <c r="P662" s="1">
        <v>28.58</v>
      </c>
      <c r="Q662" s="1">
        <v>9487.07</v>
      </c>
      <c r="R662" s="1">
        <v>49</v>
      </c>
      <c r="S662" s="1">
        <v>80.2</v>
      </c>
    </row>
    <row r="663" spans="1:19" ht="15">
      <c r="A663" s="1">
        <v>37</v>
      </c>
      <c r="B663" s="1" t="s">
        <v>62</v>
      </c>
      <c r="C663" s="1" t="s">
        <v>56</v>
      </c>
      <c r="D663" s="1">
        <v>2025</v>
      </c>
      <c r="E663" s="1" t="s">
        <v>22</v>
      </c>
      <c r="F663" s="1">
        <v>164116340</v>
      </c>
      <c r="G663" s="1">
        <v>79518403</v>
      </c>
      <c r="H663" s="1">
        <v>84597937</v>
      </c>
      <c r="I663" s="1">
        <v>14483156</v>
      </c>
      <c r="J663" s="1">
        <v>779836</v>
      </c>
      <c r="K663" s="1">
        <v>8.82</v>
      </c>
      <c r="L663" s="1">
        <v>15.18</v>
      </c>
      <c r="M663" s="1">
        <v>29.05</v>
      </c>
      <c r="N663" s="1">
        <v>12.99</v>
      </c>
      <c r="O663" s="1">
        <v>29.73</v>
      </c>
      <c r="P663" s="1">
        <v>35.9</v>
      </c>
      <c r="Q663" s="1">
        <v>9963.6200000000008</v>
      </c>
      <c r="R663" s="1">
        <v>73</v>
      </c>
      <c r="S663" s="1">
        <v>77.8</v>
      </c>
    </row>
    <row r="664" spans="1:19" ht="15">
      <c r="A664" s="1">
        <v>37</v>
      </c>
      <c r="B664" s="1" t="s">
        <v>62</v>
      </c>
      <c r="C664" s="1" t="s">
        <v>56</v>
      </c>
      <c r="D664" s="1">
        <v>2025</v>
      </c>
      <c r="E664" s="1" t="s">
        <v>23</v>
      </c>
      <c r="F664" s="1">
        <v>58401339</v>
      </c>
      <c r="G664" s="1">
        <v>29365760</v>
      </c>
      <c r="H664" s="1">
        <v>29035579</v>
      </c>
      <c r="I664" s="1">
        <v>4393216</v>
      </c>
      <c r="J664" s="1">
        <v>235217</v>
      </c>
      <c r="K664" s="1">
        <v>7.52</v>
      </c>
      <c r="L664" s="1">
        <v>17.68</v>
      </c>
      <c r="M664" s="1">
        <v>17.64</v>
      </c>
      <c r="N664" s="1">
        <v>6.84</v>
      </c>
      <c r="O664" s="1">
        <v>22.11</v>
      </c>
      <c r="P664" s="1">
        <v>18.04</v>
      </c>
      <c r="Q664" s="1">
        <v>10906.8</v>
      </c>
      <c r="R664" s="1">
        <v>70</v>
      </c>
      <c r="S664" s="1">
        <v>80.8</v>
      </c>
    </row>
    <row r="665" spans="1:19" ht="15">
      <c r="A665" s="1">
        <v>37</v>
      </c>
      <c r="B665" s="1" t="s">
        <v>62</v>
      </c>
      <c r="C665" s="1" t="s">
        <v>56</v>
      </c>
      <c r="D665" s="1">
        <v>2026</v>
      </c>
      <c r="E665" s="1" t="s">
        <v>21</v>
      </c>
      <c r="F665" s="1">
        <v>91924297</v>
      </c>
      <c r="G665" s="1">
        <v>47512867</v>
      </c>
      <c r="H665" s="1">
        <v>44411430</v>
      </c>
      <c r="I665" s="1">
        <v>8373604</v>
      </c>
      <c r="J665" s="1">
        <v>448057</v>
      </c>
      <c r="K665" s="1">
        <v>9.11</v>
      </c>
      <c r="L665" s="1">
        <v>28.87</v>
      </c>
      <c r="M665" s="1">
        <v>18.3</v>
      </c>
      <c r="N665" s="1">
        <v>10.89</v>
      </c>
      <c r="O665" s="1">
        <v>39.24</v>
      </c>
      <c r="P665" s="1">
        <v>20.83</v>
      </c>
      <c r="Q665" s="1">
        <v>10090.36</v>
      </c>
      <c r="R665" s="1">
        <v>61</v>
      </c>
      <c r="S665" s="1">
        <v>68.599999999999994</v>
      </c>
    </row>
    <row r="666" spans="1:19" ht="15">
      <c r="A666" s="1">
        <v>37</v>
      </c>
      <c r="B666" s="1" t="s">
        <v>62</v>
      </c>
      <c r="C666" s="1" t="s">
        <v>56</v>
      </c>
      <c r="D666" s="1">
        <v>2026</v>
      </c>
      <c r="E666" s="1" t="s">
        <v>22</v>
      </c>
      <c r="F666" s="1">
        <v>83919280</v>
      </c>
      <c r="G666" s="1">
        <v>43094041</v>
      </c>
      <c r="H666" s="1">
        <v>40825239</v>
      </c>
      <c r="I666" s="1">
        <v>5488239</v>
      </c>
      <c r="J666" s="1">
        <v>273897</v>
      </c>
      <c r="K666" s="1">
        <v>6.54</v>
      </c>
      <c r="L666" s="1">
        <v>18.899999999999999</v>
      </c>
      <c r="M666" s="1">
        <v>16.809999999999999</v>
      </c>
      <c r="N666" s="1">
        <v>5.17</v>
      </c>
      <c r="O666" s="1">
        <v>39.6</v>
      </c>
      <c r="P666" s="1">
        <v>15.3</v>
      </c>
      <c r="Q666" s="1">
        <v>5856.6</v>
      </c>
      <c r="R666" s="1">
        <v>56</v>
      </c>
      <c r="S666" s="1">
        <v>73.3</v>
      </c>
    </row>
    <row r="667" spans="1:19" ht="15">
      <c r="A667" s="1">
        <v>37</v>
      </c>
      <c r="B667" s="1" t="s">
        <v>62</v>
      </c>
      <c r="C667" s="1" t="s">
        <v>56</v>
      </c>
      <c r="D667" s="1">
        <v>2026</v>
      </c>
      <c r="E667" s="1" t="s">
        <v>23</v>
      </c>
      <c r="F667" s="1">
        <v>147059111</v>
      </c>
      <c r="G667" s="1">
        <v>73047457</v>
      </c>
      <c r="H667" s="1">
        <v>74011654</v>
      </c>
      <c r="I667" s="1">
        <v>7575796</v>
      </c>
      <c r="J667" s="1">
        <v>475615</v>
      </c>
      <c r="K667" s="1">
        <v>5.15</v>
      </c>
      <c r="L667" s="1">
        <v>11.19</v>
      </c>
      <c r="M667" s="1">
        <v>18.64</v>
      </c>
      <c r="N667" s="1">
        <v>5.87</v>
      </c>
      <c r="O667" s="1">
        <v>29.29</v>
      </c>
      <c r="P667" s="1">
        <v>39.22</v>
      </c>
      <c r="Q667" s="1">
        <v>3077.71</v>
      </c>
      <c r="R667" s="1">
        <v>62</v>
      </c>
      <c r="S667" s="1">
        <v>71.400000000000006</v>
      </c>
    </row>
    <row r="668" spans="1:19" ht="15">
      <c r="A668" s="1">
        <v>38</v>
      </c>
      <c r="B668" s="1" t="s">
        <v>63</v>
      </c>
      <c r="C668" s="1" t="s">
        <v>56</v>
      </c>
      <c r="D668" s="1">
        <v>2021</v>
      </c>
      <c r="E668" s="1" t="s">
        <v>21</v>
      </c>
      <c r="F668" s="1">
        <v>39152661</v>
      </c>
      <c r="G668" s="1">
        <v>20328352</v>
      </c>
      <c r="H668" s="1">
        <v>18824309</v>
      </c>
      <c r="I668" s="1">
        <v>3559296</v>
      </c>
      <c r="J668" s="1">
        <v>202662</v>
      </c>
      <c r="K668" s="1">
        <v>9.09</v>
      </c>
      <c r="L668" s="1">
        <v>19.36</v>
      </c>
      <c r="M668" s="1">
        <v>34.31</v>
      </c>
      <c r="N668" s="1">
        <v>14.97</v>
      </c>
      <c r="O668" s="1">
        <v>37.53</v>
      </c>
      <c r="P668" s="1">
        <v>34.92</v>
      </c>
      <c r="Q668" s="1">
        <v>10006.08</v>
      </c>
      <c r="R668" s="1">
        <v>62</v>
      </c>
      <c r="S668" s="1">
        <v>82.6</v>
      </c>
    </row>
    <row r="669" spans="1:19" ht="15">
      <c r="A669" s="1">
        <v>38</v>
      </c>
      <c r="B669" s="1" t="s">
        <v>63</v>
      </c>
      <c r="C669" s="1" t="s">
        <v>56</v>
      </c>
      <c r="D669" s="1">
        <v>2021</v>
      </c>
      <c r="E669" s="1" t="s">
        <v>22</v>
      </c>
      <c r="F669" s="1">
        <v>76284135</v>
      </c>
      <c r="G669" s="1">
        <v>36846260</v>
      </c>
      <c r="H669" s="1">
        <v>39437875</v>
      </c>
      <c r="I669" s="1">
        <v>4033582</v>
      </c>
      <c r="J669" s="1">
        <v>303142</v>
      </c>
      <c r="K669" s="1">
        <v>5.29</v>
      </c>
      <c r="L669" s="1">
        <v>27.03</v>
      </c>
      <c r="M669" s="1">
        <v>24.55</v>
      </c>
      <c r="N669" s="1">
        <v>13.34</v>
      </c>
      <c r="O669" s="1">
        <v>38.85</v>
      </c>
      <c r="P669" s="1">
        <v>28.74</v>
      </c>
      <c r="Q669" s="1">
        <v>9918.7099999999991</v>
      </c>
      <c r="R669" s="1">
        <v>75</v>
      </c>
      <c r="S669" s="1">
        <v>71.099999999999994</v>
      </c>
    </row>
    <row r="670" spans="1:19" ht="15">
      <c r="A670" s="1">
        <v>38</v>
      </c>
      <c r="B670" s="1" t="s">
        <v>63</v>
      </c>
      <c r="C670" s="1" t="s">
        <v>56</v>
      </c>
      <c r="D670" s="1">
        <v>2021</v>
      </c>
      <c r="E670" s="1" t="s">
        <v>23</v>
      </c>
      <c r="F670" s="1">
        <v>109189482</v>
      </c>
      <c r="G670" s="1">
        <v>54139196</v>
      </c>
      <c r="H670" s="1">
        <v>55050286</v>
      </c>
      <c r="I670" s="1">
        <v>6736784</v>
      </c>
      <c r="J670" s="1">
        <v>246203</v>
      </c>
      <c r="K670" s="1">
        <v>6.17</v>
      </c>
      <c r="L670" s="1">
        <v>29.12</v>
      </c>
      <c r="M670" s="1">
        <v>15.03</v>
      </c>
      <c r="N670" s="1">
        <v>13.9</v>
      </c>
      <c r="O670" s="1">
        <v>23.75</v>
      </c>
      <c r="P670" s="1">
        <v>19.11</v>
      </c>
      <c r="Q670" s="1">
        <v>5318.13</v>
      </c>
      <c r="R670" s="1">
        <v>56</v>
      </c>
      <c r="S670" s="1">
        <v>78.2</v>
      </c>
    </row>
    <row r="671" spans="1:19" ht="15">
      <c r="A671" s="1">
        <v>38</v>
      </c>
      <c r="B671" s="1" t="s">
        <v>63</v>
      </c>
      <c r="C671" s="1" t="s">
        <v>56</v>
      </c>
      <c r="D671" s="1">
        <v>2022</v>
      </c>
      <c r="E671" s="1" t="s">
        <v>21</v>
      </c>
      <c r="F671" s="1">
        <v>72144914</v>
      </c>
      <c r="G671" s="1">
        <v>34791423</v>
      </c>
      <c r="H671" s="1">
        <v>37353491</v>
      </c>
      <c r="I671" s="1">
        <v>6966189</v>
      </c>
      <c r="J671" s="1">
        <v>541692</v>
      </c>
      <c r="K671" s="1">
        <v>9.66</v>
      </c>
      <c r="L671" s="1">
        <v>18.37</v>
      </c>
      <c r="M671" s="1">
        <v>22.06</v>
      </c>
      <c r="N671" s="1">
        <v>12.06</v>
      </c>
      <c r="O671" s="1">
        <v>34.770000000000003</v>
      </c>
      <c r="P671" s="1">
        <v>31.13</v>
      </c>
      <c r="Q671" s="1">
        <v>7868.1</v>
      </c>
      <c r="R671" s="1">
        <v>49</v>
      </c>
      <c r="S671" s="1">
        <v>72.2</v>
      </c>
    </row>
    <row r="672" spans="1:19" ht="15">
      <c r="A672" s="1">
        <v>38</v>
      </c>
      <c r="B672" s="1" t="s">
        <v>63</v>
      </c>
      <c r="C672" s="1" t="s">
        <v>56</v>
      </c>
      <c r="D672" s="1">
        <v>2022</v>
      </c>
      <c r="E672" s="1" t="s">
        <v>22</v>
      </c>
      <c r="F672" s="1">
        <v>182809221</v>
      </c>
      <c r="G672" s="1">
        <v>89361487</v>
      </c>
      <c r="H672" s="1">
        <v>93447734</v>
      </c>
      <c r="I672" s="1">
        <v>16349794</v>
      </c>
      <c r="J672" s="1">
        <v>992688</v>
      </c>
      <c r="K672" s="1">
        <v>8.94</v>
      </c>
      <c r="L672" s="1">
        <v>23.74</v>
      </c>
      <c r="M672" s="1">
        <v>16.48</v>
      </c>
      <c r="N672" s="1">
        <v>14.89</v>
      </c>
      <c r="O672" s="1">
        <v>32.56</v>
      </c>
      <c r="P672" s="1">
        <v>15.02</v>
      </c>
      <c r="Q672" s="1">
        <v>7669.24</v>
      </c>
      <c r="R672" s="1">
        <v>53</v>
      </c>
      <c r="S672" s="1">
        <v>64.2</v>
      </c>
    </row>
    <row r="673" spans="1:19" ht="15">
      <c r="A673" s="1">
        <v>38</v>
      </c>
      <c r="B673" s="1" t="s">
        <v>63</v>
      </c>
      <c r="C673" s="1" t="s">
        <v>56</v>
      </c>
      <c r="D673" s="1">
        <v>2022</v>
      </c>
      <c r="E673" s="1" t="s">
        <v>23</v>
      </c>
      <c r="F673" s="1">
        <v>119366726</v>
      </c>
      <c r="G673" s="1">
        <v>59245117</v>
      </c>
      <c r="H673" s="1">
        <v>60121609</v>
      </c>
      <c r="I673" s="1">
        <v>6209782</v>
      </c>
      <c r="J673" s="1">
        <v>198632</v>
      </c>
      <c r="K673" s="1">
        <v>5.2</v>
      </c>
      <c r="L673" s="1">
        <v>19.39</v>
      </c>
      <c r="M673" s="1">
        <v>28.06</v>
      </c>
      <c r="N673" s="1">
        <v>10.18</v>
      </c>
      <c r="O673" s="1">
        <v>23.62</v>
      </c>
      <c r="P673" s="1">
        <v>16.23</v>
      </c>
      <c r="Q673" s="1">
        <v>7519.48</v>
      </c>
      <c r="R673" s="1">
        <v>54</v>
      </c>
      <c r="S673" s="1">
        <v>73.900000000000006</v>
      </c>
    </row>
    <row r="674" spans="1:19" ht="15">
      <c r="A674" s="1">
        <v>38</v>
      </c>
      <c r="B674" s="1" t="s">
        <v>63</v>
      </c>
      <c r="C674" s="1" t="s">
        <v>56</v>
      </c>
      <c r="D674" s="1">
        <v>2023</v>
      </c>
      <c r="E674" s="1" t="s">
        <v>21</v>
      </c>
      <c r="F674" s="1">
        <v>39447789</v>
      </c>
      <c r="G674" s="1">
        <v>19791829</v>
      </c>
      <c r="H674" s="1">
        <v>19655960</v>
      </c>
      <c r="I674" s="1">
        <v>3416432</v>
      </c>
      <c r="J674" s="1">
        <v>270659</v>
      </c>
      <c r="K674" s="1">
        <v>8.66</v>
      </c>
      <c r="L674" s="1">
        <v>27.42</v>
      </c>
      <c r="M674" s="1">
        <v>12.57</v>
      </c>
      <c r="N674" s="1">
        <v>5.67</v>
      </c>
      <c r="O674" s="1">
        <v>25.81</v>
      </c>
      <c r="P674" s="1">
        <v>35.26</v>
      </c>
      <c r="Q674" s="1">
        <v>10944.07</v>
      </c>
      <c r="R674" s="1">
        <v>47</v>
      </c>
      <c r="S674" s="1">
        <v>82</v>
      </c>
    </row>
    <row r="675" spans="1:19" ht="15">
      <c r="A675" s="1">
        <v>38</v>
      </c>
      <c r="B675" s="1" t="s">
        <v>63</v>
      </c>
      <c r="C675" s="1" t="s">
        <v>56</v>
      </c>
      <c r="D675" s="1">
        <v>2023</v>
      </c>
      <c r="E675" s="1" t="s">
        <v>22</v>
      </c>
      <c r="F675" s="1">
        <v>114819750</v>
      </c>
      <c r="G675" s="1">
        <v>57549126</v>
      </c>
      <c r="H675" s="1">
        <v>57270624</v>
      </c>
      <c r="I675" s="1">
        <v>6925974</v>
      </c>
      <c r="J675" s="1">
        <v>363110</v>
      </c>
      <c r="K675" s="1">
        <v>6.03</v>
      </c>
      <c r="L675" s="1">
        <v>25.17</v>
      </c>
      <c r="M675" s="1">
        <v>31.25</v>
      </c>
      <c r="N675" s="1">
        <v>9.43</v>
      </c>
      <c r="O675" s="1">
        <v>31.53</v>
      </c>
      <c r="P675" s="1">
        <v>29.89</v>
      </c>
      <c r="Q675" s="1">
        <v>11399.54</v>
      </c>
      <c r="R675" s="1">
        <v>49</v>
      </c>
      <c r="S675" s="1">
        <v>66.599999999999994</v>
      </c>
    </row>
    <row r="676" spans="1:19" ht="15">
      <c r="A676" s="1">
        <v>38</v>
      </c>
      <c r="B676" s="1" t="s">
        <v>63</v>
      </c>
      <c r="C676" s="1" t="s">
        <v>56</v>
      </c>
      <c r="D676" s="1">
        <v>2023</v>
      </c>
      <c r="E676" s="1" t="s">
        <v>23</v>
      </c>
      <c r="F676" s="1">
        <v>162563400</v>
      </c>
      <c r="G676" s="1">
        <v>82630995</v>
      </c>
      <c r="H676" s="1">
        <v>79932405</v>
      </c>
      <c r="I676" s="1">
        <v>12045082</v>
      </c>
      <c r="J676" s="1">
        <v>429729</v>
      </c>
      <c r="K676" s="1">
        <v>7.41</v>
      </c>
      <c r="L676" s="1">
        <v>24.85</v>
      </c>
      <c r="M676" s="1">
        <v>32.21</v>
      </c>
      <c r="N676" s="1">
        <v>11.03</v>
      </c>
      <c r="O676" s="1">
        <v>27.9</v>
      </c>
      <c r="P676" s="1">
        <v>37.92</v>
      </c>
      <c r="Q676" s="1">
        <v>4010.24</v>
      </c>
      <c r="R676" s="1">
        <v>73</v>
      </c>
      <c r="S676" s="1">
        <v>82.7</v>
      </c>
    </row>
    <row r="677" spans="1:19" ht="15">
      <c r="A677" s="1">
        <v>38</v>
      </c>
      <c r="B677" s="1" t="s">
        <v>63</v>
      </c>
      <c r="C677" s="1" t="s">
        <v>56</v>
      </c>
      <c r="D677" s="1">
        <v>2024</v>
      </c>
      <c r="E677" s="1" t="s">
        <v>21</v>
      </c>
      <c r="F677" s="1">
        <v>145194833</v>
      </c>
      <c r="G677" s="1">
        <v>72117842</v>
      </c>
      <c r="H677" s="1">
        <v>73076991</v>
      </c>
      <c r="I677" s="1">
        <v>7290968</v>
      </c>
      <c r="J677" s="1">
        <v>412070</v>
      </c>
      <c r="K677" s="1">
        <v>5.0199999999999996</v>
      </c>
      <c r="L677" s="1">
        <v>10.3</v>
      </c>
      <c r="M677" s="1">
        <v>22.39</v>
      </c>
      <c r="N677" s="1">
        <v>11.46</v>
      </c>
      <c r="O677" s="1">
        <v>37.06</v>
      </c>
      <c r="P677" s="1">
        <v>15.19</v>
      </c>
      <c r="Q677" s="1">
        <v>4522.92</v>
      </c>
      <c r="R677" s="1">
        <v>80</v>
      </c>
      <c r="S677" s="1">
        <v>68.599999999999994</v>
      </c>
    </row>
    <row r="678" spans="1:19" ht="15">
      <c r="A678" s="1">
        <v>38</v>
      </c>
      <c r="B678" s="1" t="s">
        <v>63</v>
      </c>
      <c r="C678" s="1" t="s">
        <v>56</v>
      </c>
      <c r="D678" s="1">
        <v>2024</v>
      </c>
      <c r="E678" s="1" t="s">
        <v>22</v>
      </c>
      <c r="F678" s="1">
        <v>127820751</v>
      </c>
      <c r="G678" s="1">
        <v>62806721</v>
      </c>
      <c r="H678" s="1">
        <v>65014030</v>
      </c>
      <c r="I678" s="1">
        <v>10961459</v>
      </c>
      <c r="J678" s="1">
        <v>663899</v>
      </c>
      <c r="K678" s="1">
        <v>8.58</v>
      </c>
      <c r="L678" s="1">
        <v>18.600000000000001</v>
      </c>
      <c r="M678" s="1">
        <v>21.58</v>
      </c>
      <c r="N678" s="1">
        <v>5.15</v>
      </c>
      <c r="O678" s="1">
        <v>23.81</v>
      </c>
      <c r="P678" s="1">
        <v>39.5</v>
      </c>
      <c r="Q678" s="1">
        <v>4225.5600000000004</v>
      </c>
      <c r="R678" s="1">
        <v>66</v>
      </c>
      <c r="S678" s="1">
        <v>67.900000000000006</v>
      </c>
    </row>
    <row r="679" spans="1:19" ht="15">
      <c r="A679" s="1">
        <v>38</v>
      </c>
      <c r="B679" s="1" t="s">
        <v>63</v>
      </c>
      <c r="C679" s="1" t="s">
        <v>56</v>
      </c>
      <c r="D679" s="1">
        <v>2024</v>
      </c>
      <c r="E679" s="1" t="s">
        <v>23</v>
      </c>
      <c r="F679" s="1">
        <v>145357349</v>
      </c>
      <c r="G679" s="1">
        <v>73870607</v>
      </c>
      <c r="H679" s="1">
        <v>71486742</v>
      </c>
      <c r="I679" s="1">
        <v>14150112</v>
      </c>
      <c r="J679" s="1">
        <v>514633</v>
      </c>
      <c r="K679" s="1">
        <v>9.73</v>
      </c>
      <c r="L679" s="1">
        <v>21.73</v>
      </c>
      <c r="M679" s="1">
        <v>18.440000000000001</v>
      </c>
      <c r="N679" s="1">
        <v>5.9</v>
      </c>
      <c r="O679" s="1">
        <v>26.98</v>
      </c>
      <c r="P679" s="1">
        <v>31.33</v>
      </c>
      <c r="Q679" s="1">
        <v>2638.75</v>
      </c>
      <c r="R679" s="1">
        <v>62</v>
      </c>
      <c r="S679" s="1">
        <v>73.599999999999994</v>
      </c>
    </row>
    <row r="680" spans="1:19" ht="15">
      <c r="A680" s="1">
        <v>38</v>
      </c>
      <c r="B680" s="1" t="s">
        <v>63</v>
      </c>
      <c r="C680" s="1" t="s">
        <v>56</v>
      </c>
      <c r="D680" s="1">
        <v>2025</v>
      </c>
      <c r="E680" s="1" t="s">
        <v>21</v>
      </c>
      <c r="F680" s="1">
        <v>61653124</v>
      </c>
      <c r="G680" s="1">
        <v>30494456</v>
      </c>
      <c r="H680" s="1">
        <v>31158668</v>
      </c>
      <c r="I680" s="1">
        <v>5244999</v>
      </c>
      <c r="J680" s="1">
        <v>360838</v>
      </c>
      <c r="K680" s="1">
        <v>8.51</v>
      </c>
      <c r="L680" s="1">
        <v>19.84</v>
      </c>
      <c r="M680" s="1">
        <v>33.950000000000003</v>
      </c>
      <c r="N680" s="1">
        <v>7.27</v>
      </c>
      <c r="O680" s="1">
        <v>35.39</v>
      </c>
      <c r="P680" s="1">
        <v>39.83</v>
      </c>
      <c r="Q680" s="1">
        <v>3222.18</v>
      </c>
      <c r="R680" s="1">
        <v>81</v>
      </c>
      <c r="S680" s="1">
        <v>74.7</v>
      </c>
    </row>
    <row r="681" spans="1:19" ht="15">
      <c r="A681" s="1">
        <v>38</v>
      </c>
      <c r="B681" s="1" t="s">
        <v>63</v>
      </c>
      <c r="C681" s="1" t="s">
        <v>56</v>
      </c>
      <c r="D681" s="1">
        <v>2025</v>
      </c>
      <c r="E681" s="1" t="s">
        <v>22</v>
      </c>
      <c r="F681" s="1">
        <v>23822679</v>
      </c>
      <c r="G681" s="1">
        <v>11799278</v>
      </c>
      <c r="H681" s="1">
        <v>12023401</v>
      </c>
      <c r="I681" s="1">
        <v>1796637</v>
      </c>
      <c r="J681" s="1">
        <v>93961</v>
      </c>
      <c r="K681" s="1">
        <v>7.54</v>
      </c>
      <c r="L681" s="1">
        <v>23.57</v>
      </c>
      <c r="M681" s="1">
        <v>33.549999999999997</v>
      </c>
      <c r="N681" s="1">
        <v>8.8699999999999992</v>
      </c>
      <c r="O681" s="1">
        <v>20.07</v>
      </c>
      <c r="P681" s="1">
        <v>35.950000000000003</v>
      </c>
      <c r="Q681" s="1">
        <v>8340.77</v>
      </c>
      <c r="R681" s="1">
        <v>63</v>
      </c>
      <c r="S681" s="1">
        <v>69.3</v>
      </c>
    </row>
    <row r="682" spans="1:19" ht="15">
      <c r="A682" s="1">
        <v>38</v>
      </c>
      <c r="B682" s="1" t="s">
        <v>63</v>
      </c>
      <c r="C682" s="1" t="s">
        <v>56</v>
      </c>
      <c r="D682" s="1">
        <v>2025</v>
      </c>
      <c r="E682" s="1" t="s">
        <v>23</v>
      </c>
      <c r="F682" s="1">
        <v>169286555</v>
      </c>
      <c r="G682" s="1">
        <v>87554204</v>
      </c>
      <c r="H682" s="1">
        <v>81732351</v>
      </c>
      <c r="I682" s="1">
        <v>13648546</v>
      </c>
      <c r="J682" s="1">
        <v>772909</v>
      </c>
      <c r="K682" s="1">
        <v>8.06</v>
      </c>
      <c r="L682" s="1">
        <v>24.85</v>
      </c>
      <c r="M682" s="1">
        <v>24.03</v>
      </c>
      <c r="N682" s="1">
        <v>14.35</v>
      </c>
      <c r="O682" s="1">
        <v>36.56</v>
      </c>
      <c r="P682" s="1">
        <v>19.59</v>
      </c>
      <c r="Q682" s="1">
        <v>1756.24</v>
      </c>
      <c r="R682" s="1">
        <v>41</v>
      </c>
      <c r="S682" s="1">
        <v>80.3</v>
      </c>
    </row>
    <row r="683" spans="1:19" ht="15">
      <c r="A683" s="1">
        <v>38</v>
      </c>
      <c r="B683" s="1" t="s">
        <v>63</v>
      </c>
      <c r="C683" s="1" t="s">
        <v>56</v>
      </c>
      <c r="D683" s="1">
        <v>2026</v>
      </c>
      <c r="E683" s="1" t="s">
        <v>21</v>
      </c>
      <c r="F683" s="1">
        <v>159208227</v>
      </c>
      <c r="G683" s="1">
        <v>79937402</v>
      </c>
      <c r="H683" s="1">
        <v>79270825</v>
      </c>
      <c r="I683" s="1">
        <v>10881171</v>
      </c>
      <c r="J683" s="1">
        <v>736344</v>
      </c>
      <c r="K683" s="1">
        <v>6.83</v>
      </c>
      <c r="L683" s="1">
        <v>24.78</v>
      </c>
      <c r="M683" s="1">
        <v>32.01</v>
      </c>
      <c r="N683" s="1">
        <v>14.57</v>
      </c>
      <c r="O683" s="1">
        <v>33.99</v>
      </c>
      <c r="P683" s="1">
        <v>27.98</v>
      </c>
      <c r="Q683" s="1">
        <v>4929.4799999999996</v>
      </c>
      <c r="R683" s="1">
        <v>81</v>
      </c>
      <c r="S683" s="1">
        <v>75.5</v>
      </c>
    </row>
    <row r="684" spans="1:19" ht="15">
      <c r="A684" s="1">
        <v>38</v>
      </c>
      <c r="B684" s="1" t="s">
        <v>63</v>
      </c>
      <c r="C684" s="1" t="s">
        <v>56</v>
      </c>
      <c r="D684" s="1">
        <v>2026</v>
      </c>
      <c r="E684" s="1" t="s">
        <v>22</v>
      </c>
      <c r="F684" s="1">
        <v>45038027</v>
      </c>
      <c r="G684" s="1">
        <v>21854031</v>
      </c>
      <c r="H684" s="1">
        <v>23183996</v>
      </c>
      <c r="I684" s="1">
        <v>4390569</v>
      </c>
      <c r="J684" s="1">
        <v>132242</v>
      </c>
      <c r="K684" s="1">
        <v>9.75</v>
      </c>
      <c r="L684" s="1">
        <v>29.58</v>
      </c>
      <c r="M684" s="1">
        <v>34.17</v>
      </c>
      <c r="N684" s="1">
        <v>11.1</v>
      </c>
      <c r="O684" s="1">
        <v>29.3</v>
      </c>
      <c r="P684" s="1">
        <v>18.5</v>
      </c>
      <c r="Q684" s="1">
        <v>10140.65</v>
      </c>
      <c r="R684" s="1">
        <v>60</v>
      </c>
      <c r="S684" s="1">
        <v>78.400000000000006</v>
      </c>
    </row>
    <row r="685" spans="1:19" ht="15">
      <c r="A685" s="1">
        <v>38</v>
      </c>
      <c r="B685" s="1" t="s">
        <v>63</v>
      </c>
      <c r="C685" s="1" t="s">
        <v>56</v>
      </c>
      <c r="D685" s="1">
        <v>2026</v>
      </c>
      <c r="E685" s="1" t="s">
        <v>23</v>
      </c>
      <c r="F685" s="1">
        <v>70429749</v>
      </c>
      <c r="G685" s="1">
        <v>35854283</v>
      </c>
      <c r="H685" s="1">
        <v>34575466</v>
      </c>
      <c r="I685" s="1">
        <v>3697893</v>
      </c>
      <c r="J685" s="1">
        <v>204750</v>
      </c>
      <c r="K685" s="1">
        <v>5.25</v>
      </c>
      <c r="L685" s="1">
        <v>17</v>
      </c>
      <c r="M685" s="1">
        <v>18.91</v>
      </c>
      <c r="N685" s="1">
        <v>12.28</v>
      </c>
      <c r="O685" s="1">
        <v>25.12</v>
      </c>
      <c r="P685" s="1">
        <v>17.61</v>
      </c>
      <c r="Q685" s="1">
        <v>885.56</v>
      </c>
      <c r="R685" s="1">
        <v>42</v>
      </c>
      <c r="S685" s="1">
        <v>77.900000000000006</v>
      </c>
    </row>
    <row r="686" spans="1:19" ht="15">
      <c r="A686" s="1">
        <v>39</v>
      </c>
      <c r="B686" s="1" t="s">
        <v>64</v>
      </c>
      <c r="C686" s="1" t="s">
        <v>56</v>
      </c>
      <c r="D686" s="1">
        <v>2021</v>
      </c>
      <c r="E686" s="1" t="s">
        <v>21</v>
      </c>
      <c r="F686" s="1">
        <v>96536495</v>
      </c>
      <c r="G686" s="1">
        <v>47372206</v>
      </c>
      <c r="H686" s="1">
        <v>49164289</v>
      </c>
      <c r="I686" s="1">
        <v>6540905</v>
      </c>
      <c r="J686" s="1">
        <v>413958</v>
      </c>
      <c r="K686" s="1">
        <v>6.78</v>
      </c>
      <c r="L686" s="1">
        <v>11.23</v>
      </c>
      <c r="M686" s="1">
        <v>30.47</v>
      </c>
      <c r="N686" s="1">
        <v>10.5</v>
      </c>
      <c r="O686" s="1">
        <v>28.82</v>
      </c>
      <c r="P686" s="1">
        <v>15.12</v>
      </c>
      <c r="Q686" s="1">
        <v>10716.83</v>
      </c>
      <c r="R686" s="1">
        <v>72</v>
      </c>
      <c r="S686" s="1">
        <v>62.4</v>
      </c>
    </row>
    <row r="687" spans="1:19" ht="15">
      <c r="A687" s="1">
        <v>39</v>
      </c>
      <c r="B687" s="1" t="s">
        <v>64</v>
      </c>
      <c r="C687" s="1" t="s">
        <v>56</v>
      </c>
      <c r="D687" s="1">
        <v>2021</v>
      </c>
      <c r="E687" s="1" t="s">
        <v>22</v>
      </c>
      <c r="F687" s="1">
        <v>121426023</v>
      </c>
      <c r="G687" s="1">
        <v>61780455</v>
      </c>
      <c r="H687" s="1">
        <v>59645568</v>
      </c>
      <c r="I687" s="1">
        <v>10311984</v>
      </c>
      <c r="J687" s="1">
        <v>513596</v>
      </c>
      <c r="K687" s="1">
        <v>8.49</v>
      </c>
      <c r="L687" s="1">
        <v>19.559999999999999</v>
      </c>
      <c r="M687" s="1">
        <v>28.25</v>
      </c>
      <c r="N687" s="1">
        <v>13.04</v>
      </c>
      <c r="O687" s="1">
        <v>22.64</v>
      </c>
      <c r="P687" s="1">
        <v>37.450000000000003</v>
      </c>
      <c r="Q687" s="1">
        <v>5936.75</v>
      </c>
      <c r="R687" s="1">
        <v>76</v>
      </c>
      <c r="S687" s="1">
        <v>74.2</v>
      </c>
    </row>
    <row r="688" spans="1:19" ht="15">
      <c r="A688" s="1">
        <v>39</v>
      </c>
      <c r="B688" s="1" t="s">
        <v>64</v>
      </c>
      <c r="C688" s="1" t="s">
        <v>56</v>
      </c>
      <c r="D688" s="1">
        <v>2021</v>
      </c>
      <c r="E688" s="1" t="s">
        <v>23</v>
      </c>
      <c r="F688" s="1">
        <v>145356414</v>
      </c>
      <c r="G688" s="1">
        <v>72976256</v>
      </c>
      <c r="H688" s="1">
        <v>72380158</v>
      </c>
      <c r="I688" s="1">
        <v>9393255</v>
      </c>
      <c r="J688" s="1">
        <v>552711</v>
      </c>
      <c r="K688" s="1">
        <v>6.46</v>
      </c>
      <c r="L688" s="1">
        <v>18.71</v>
      </c>
      <c r="M688" s="1">
        <v>20.8</v>
      </c>
      <c r="N688" s="1">
        <v>11.11</v>
      </c>
      <c r="O688" s="1">
        <v>38.07</v>
      </c>
      <c r="P688" s="1">
        <v>19.07</v>
      </c>
      <c r="Q688" s="1">
        <v>1523.42</v>
      </c>
      <c r="R688" s="1">
        <v>71</v>
      </c>
      <c r="S688" s="1">
        <v>69.8</v>
      </c>
    </row>
    <row r="689" spans="1:19" ht="15">
      <c r="A689" s="1">
        <v>39</v>
      </c>
      <c r="B689" s="1" t="s">
        <v>64</v>
      </c>
      <c r="C689" s="1" t="s">
        <v>56</v>
      </c>
      <c r="D689" s="1">
        <v>2022</v>
      </c>
      <c r="E689" s="1" t="s">
        <v>21</v>
      </c>
      <c r="F689" s="1">
        <v>180125555</v>
      </c>
      <c r="G689" s="1">
        <v>91676922</v>
      </c>
      <c r="H689" s="1">
        <v>88448633</v>
      </c>
      <c r="I689" s="1">
        <v>12617761</v>
      </c>
      <c r="J689" s="1">
        <v>695980</v>
      </c>
      <c r="K689" s="1">
        <v>7</v>
      </c>
      <c r="L689" s="1">
        <v>18.350000000000001</v>
      </c>
      <c r="M689" s="1">
        <v>11.4</v>
      </c>
      <c r="N689" s="1">
        <v>9.92</v>
      </c>
      <c r="O689" s="1">
        <v>38.53</v>
      </c>
      <c r="P689" s="1">
        <v>26.79</v>
      </c>
      <c r="Q689" s="1">
        <v>8716.16</v>
      </c>
      <c r="R689" s="1">
        <v>60</v>
      </c>
      <c r="S689" s="1">
        <v>67.599999999999994</v>
      </c>
    </row>
    <row r="690" spans="1:19" ht="15">
      <c r="A690" s="1">
        <v>39</v>
      </c>
      <c r="B690" s="1" t="s">
        <v>64</v>
      </c>
      <c r="C690" s="1" t="s">
        <v>56</v>
      </c>
      <c r="D690" s="1">
        <v>2022</v>
      </c>
      <c r="E690" s="1" t="s">
        <v>22</v>
      </c>
      <c r="F690" s="1">
        <v>126005495</v>
      </c>
      <c r="G690" s="1">
        <v>65249365</v>
      </c>
      <c r="H690" s="1">
        <v>60756130</v>
      </c>
      <c r="I690" s="1">
        <v>10756132</v>
      </c>
      <c r="J690" s="1">
        <v>395656</v>
      </c>
      <c r="K690" s="1">
        <v>8.5399999999999991</v>
      </c>
      <c r="L690" s="1">
        <v>29.33</v>
      </c>
      <c r="M690" s="1">
        <v>31.59</v>
      </c>
      <c r="N690" s="1">
        <v>6.68</v>
      </c>
      <c r="O690" s="1">
        <v>32.92</v>
      </c>
      <c r="P690" s="1">
        <v>34.380000000000003</v>
      </c>
      <c r="Q690" s="1">
        <v>4716.1000000000004</v>
      </c>
      <c r="R690" s="1">
        <v>40</v>
      </c>
      <c r="S690" s="1">
        <v>69.5</v>
      </c>
    </row>
    <row r="691" spans="1:19" ht="15">
      <c r="A691" s="1">
        <v>39</v>
      </c>
      <c r="B691" s="1" t="s">
        <v>64</v>
      </c>
      <c r="C691" s="1" t="s">
        <v>56</v>
      </c>
      <c r="D691" s="1">
        <v>2022</v>
      </c>
      <c r="E691" s="1" t="s">
        <v>23</v>
      </c>
      <c r="F691" s="1">
        <v>109708472</v>
      </c>
      <c r="G691" s="1">
        <v>55400704</v>
      </c>
      <c r="H691" s="1">
        <v>54307768</v>
      </c>
      <c r="I691" s="1">
        <v>10001724</v>
      </c>
      <c r="J691" s="1">
        <v>777843</v>
      </c>
      <c r="K691" s="1">
        <v>9.1199999999999992</v>
      </c>
      <c r="L691" s="1">
        <v>25.63</v>
      </c>
      <c r="M691" s="1">
        <v>24.35</v>
      </c>
      <c r="N691" s="1">
        <v>9.31</v>
      </c>
      <c r="O691" s="1">
        <v>36.869999999999997</v>
      </c>
      <c r="P691" s="1">
        <v>21.18</v>
      </c>
      <c r="Q691" s="1">
        <v>607.74</v>
      </c>
      <c r="R691" s="1">
        <v>81</v>
      </c>
      <c r="S691" s="1">
        <v>80.5</v>
      </c>
    </row>
    <row r="692" spans="1:19" ht="15">
      <c r="A692" s="1">
        <v>39</v>
      </c>
      <c r="B692" s="1" t="s">
        <v>64</v>
      </c>
      <c r="C692" s="1" t="s">
        <v>56</v>
      </c>
      <c r="D692" s="1">
        <v>2023</v>
      </c>
      <c r="E692" s="1" t="s">
        <v>21</v>
      </c>
      <c r="F692" s="1">
        <v>29299342</v>
      </c>
      <c r="G692" s="1">
        <v>15201067</v>
      </c>
      <c r="H692" s="1">
        <v>14098275</v>
      </c>
      <c r="I692" s="1">
        <v>1567161</v>
      </c>
      <c r="J692" s="1">
        <v>47593</v>
      </c>
      <c r="K692" s="1">
        <v>5.35</v>
      </c>
      <c r="L692" s="1">
        <v>13.45</v>
      </c>
      <c r="M692" s="1">
        <v>30.38</v>
      </c>
      <c r="N692" s="1">
        <v>12.63</v>
      </c>
      <c r="O692" s="1">
        <v>21.63</v>
      </c>
      <c r="P692" s="1">
        <v>33.56</v>
      </c>
      <c r="Q692" s="1">
        <v>3212.64</v>
      </c>
      <c r="R692" s="1">
        <v>41</v>
      </c>
      <c r="S692" s="1">
        <v>78.7</v>
      </c>
    </row>
    <row r="693" spans="1:19" ht="15">
      <c r="A693" s="1">
        <v>39</v>
      </c>
      <c r="B693" s="1" t="s">
        <v>64</v>
      </c>
      <c r="C693" s="1" t="s">
        <v>56</v>
      </c>
      <c r="D693" s="1">
        <v>2023</v>
      </c>
      <c r="E693" s="1" t="s">
        <v>22</v>
      </c>
      <c r="F693" s="1">
        <v>37362887</v>
      </c>
      <c r="G693" s="1">
        <v>18401109</v>
      </c>
      <c r="H693" s="1">
        <v>18961778</v>
      </c>
      <c r="I693" s="1">
        <v>1984420</v>
      </c>
      <c r="J693" s="1">
        <v>153958</v>
      </c>
      <c r="K693" s="1">
        <v>5.31</v>
      </c>
      <c r="L693" s="1">
        <v>11.6</v>
      </c>
      <c r="M693" s="1">
        <v>27.34</v>
      </c>
      <c r="N693" s="1">
        <v>12.68</v>
      </c>
      <c r="O693" s="1">
        <v>28.72</v>
      </c>
      <c r="P693" s="1">
        <v>33.270000000000003</v>
      </c>
      <c r="Q693" s="1">
        <v>8749.39</v>
      </c>
      <c r="R693" s="1">
        <v>48</v>
      </c>
      <c r="S693" s="1">
        <v>76.5</v>
      </c>
    </row>
    <row r="694" spans="1:19" ht="15">
      <c r="A694" s="1">
        <v>39</v>
      </c>
      <c r="B694" s="1" t="s">
        <v>64</v>
      </c>
      <c r="C694" s="1" t="s">
        <v>56</v>
      </c>
      <c r="D694" s="1">
        <v>2023</v>
      </c>
      <c r="E694" s="1" t="s">
        <v>23</v>
      </c>
      <c r="F694" s="1">
        <v>7481011</v>
      </c>
      <c r="G694" s="1">
        <v>3718282</v>
      </c>
      <c r="H694" s="1">
        <v>3762729</v>
      </c>
      <c r="I694" s="1">
        <v>447410</v>
      </c>
      <c r="J694" s="1">
        <v>19579</v>
      </c>
      <c r="K694" s="1">
        <v>5.98</v>
      </c>
      <c r="L694" s="1">
        <v>15.55</v>
      </c>
      <c r="M694" s="1">
        <v>14.2</v>
      </c>
      <c r="N694" s="1">
        <v>12.12</v>
      </c>
      <c r="O694" s="1">
        <v>29.34</v>
      </c>
      <c r="P694" s="1">
        <v>38.99</v>
      </c>
      <c r="Q694" s="1">
        <v>6250.67</v>
      </c>
      <c r="R694" s="1">
        <v>55</v>
      </c>
      <c r="S694" s="1">
        <v>78.2</v>
      </c>
    </row>
    <row r="695" spans="1:19" ht="15">
      <c r="A695" s="1">
        <v>39</v>
      </c>
      <c r="B695" s="1" t="s">
        <v>64</v>
      </c>
      <c r="C695" s="1" t="s">
        <v>56</v>
      </c>
      <c r="D695" s="1">
        <v>2024</v>
      </c>
      <c r="E695" s="1" t="s">
        <v>21</v>
      </c>
      <c r="F695" s="1">
        <v>128544535</v>
      </c>
      <c r="G695" s="1">
        <v>63563135</v>
      </c>
      <c r="H695" s="1">
        <v>64981400</v>
      </c>
      <c r="I695" s="1">
        <v>8790023</v>
      </c>
      <c r="J695" s="1">
        <v>274231</v>
      </c>
      <c r="K695" s="1">
        <v>6.84</v>
      </c>
      <c r="L695" s="1">
        <v>22.17</v>
      </c>
      <c r="M695" s="1">
        <v>20.420000000000002</v>
      </c>
      <c r="N695" s="1">
        <v>6.54</v>
      </c>
      <c r="O695" s="1">
        <v>21.28</v>
      </c>
      <c r="P695" s="1">
        <v>38.57</v>
      </c>
      <c r="Q695" s="1">
        <v>1580.78</v>
      </c>
      <c r="R695" s="1">
        <v>71</v>
      </c>
      <c r="S695" s="1">
        <v>64</v>
      </c>
    </row>
    <row r="696" spans="1:19" ht="15">
      <c r="A696" s="1">
        <v>39</v>
      </c>
      <c r="B696" s="1" t="s">
        <v>64</v>
      </c>
      <c r="C696" s="1" t="s">
        <v>56</v>
      </c>
      <c r="D696" s="1">
        <v>2024</v>
      </c>
      <c r="E696" s="1" t="s">
        <v>22</v>
      </c>
      <c r="F696" s="1">
        <v>46042030</v>
      </c>
      <c r="G696" s="1">
        <v>23874709</v>
      </c>
      <c r="H696" s="1">
        <v>22167321</v>
      </c>
      <c r="I696" s="1">
        <v>4444183</v>
      </c>
      <c r="J696" s="1">
        <v>229117</v>
      </c>
      <c r="K696" s="1">
        <v>9.65</v>
      </c>
      <c r="L696" s="1">
        <v>15.66</v>
      </c>
      <c r="M696" s="1">
        <v>16.010000000000002</v>
      </c>
      <c r="N696" s="1">
        <v>14.86</v>
      </c>
      <c r="O696" s="1">
        <v>31.46</v>
      </c>
      <c r="P696" s="1">
        <v>23.03</v>
      </c>
      <c r="Q696" s="1">
        <v>8763.2900000000009</v>
      </c>
      <c r="R696" s="1">
        <v>84</v>
      </c>
      <c r="S696" s="1">
        <v>77.599999999999994</v>
      </c>
    </row>
    <row r="697" spans="1:19" ht="15">
      <c r="A697" s="1">
        <v>39</v>
      </c>
      <c r="B697" s="1" t="s">
        <v>64</v>
      </c>
      <c r="C697" s="1" t="s">
        <v>56</v>
      </c>
      <c r="D697" s="1">
        <v>2024</v>
      </c>
      <c r="E697" s="1" t="s">
        <v>23</v>
      </c>
      <c r="F697" s="1">
        <v>80655002</v>
      </c>
      <c r="G697" s="1">
        <v>40664201</v>
      </c>
      <c r="H697" s="1">
        <v>39990801</v>
      </c>
      <c r="I697" s="1">
        <v>8023747</v>
      </c>
      <c r="J697" s="1">
        <v>442540</v>
      </c>
      <c r="K697" s="1">
        <v>9.9499999999999993</v>
      </c>
      <c r="L697" s="1">
        <v>10.85</v>
      </c>
      <c r="M697" s="1">
        <v>28.21</v>
      </c>
      <c r="N697" s="1">
        <v>10.93</v>
      </c>
      <c r="O697" s="1">
        <v>24.79</v>
      </c>
      <c r="P697" s="1">
        <v>20.34</v>
      </c>
      <c r="Q697" s="1">
        <v>5202.99</v>
      </c>
      <c r="R697" s="1">
        <v>44</v>
      </c>
      <c r="S697" s="1">
        <v>65.5</v>
      </c>
    </row>
    <row r="698" spans="1:19" ht="15">
      <c r="A698" s="1">
        <v>39</v>
      </c>
      <c r="B698" s="1" t="s">
        <v>64</v>
      </c>
      <c r="C698" s="1" t="s">
        <v>56</v>
      </c>
      <c r="D698" s="1">
        <v>2025</v>
      </c>
      <c r="E698" s="1" t="s">
        <v>21</v>
      </c>
      <c r="F698" s="1">
        <v>77219736</v>
      </c>
      <c r="G698" s="1">
        <v>37095270</v>
      </c>
      <c r="H698" s="1">
        <v>40124466</v>
      </c>
      <c r="I698" s="1">
        <v>5147786</v>
      </c>
      <c r="J698" s="1">
        <v>257029</v>
      </c>
      <c r="K698" s="1">
        <v>6.67</v>
      </c>
      <c r="L698" s="1">
        <v>21.86</v>
      </c>
      <c r="M698" s="1">
        <v>32.36</v>
      </c>
      <c r="N698" s="1">
        <v>12.58</v>
      </c>
      <c r="O698" s="1">
        <v>21.11</v>
      </c>
      <c r="P698" s="1">
        <v>35.39</v>
      </c>
      <c r="Q698" s="1">
        <v>7761.68</v>
      </c>
      <c r="R698" s="1">
        <v>76</v>
      </c>
      <c r="S698" s="1">
        <v>81.400000000000006</v>
      </c>
    </row>
    <row r="699" spans="1:19" ht="15">
      <c r="A699" s="1">
        <v>39</v>
      </c>
      <c r="B699" s="1" t="s">
        <v>64</v>
      </c>
      <c r="C699" s="1" t="s">
        <v>56</v>
      </c>
      <c r="D699" s="1">
        <v>2025</v>
      </c>
      <c r="E699" s="1" t="s">
        <v>22</v>
      </c>
      <c r="F699" s="1">
        <v>103859376</v>
      </c>
      <c r="G699" s="1">
        <v>50564245</v>
      </c>
      <c r="H699" s="1">
        <v>53295131</v>
      </c>
      <c r="I699" s="1">
        <v>6325738</v>
      </c>
      <c r="J699" s="1">
        <v>488588</v>
      </c>
      <c r="K699" s="1">
        <v>6.09</v>
      </c>
      <c r="L699" s="1">
        <v>10.98</v>
      </c>
      <c r="M699" s="1">
        <v>13.26</v>
      </c>
      <c r="N699" s="1">
        <v>12.39</v>
      </c>
      <c r="O699" s="1">
        <v>39.619999999999997</v>
      </c>
      <c r="P699" s="1">
        <v>15.08</v>
      </c>
      <c r="Q699" s="1">
        <v>7639.61</v>
      </c>
      <c r="R699" s="1">
        <v>64</v>
      </c>
      <c r="S699" s="1">
        <v>78.8</v>
      </c>
    </row>
    <row r="700" spans="1:19" ht="15">
      <c r="A700" s="1">
        <v>39</v>
      </c>
      <c r="B700" s="1" t="s">
        <v>64</v>
      </c>
      <c r="C700" s="1" t="s">
        <v>56</v>
      </c>
      <c r="D700" s="1">
        <v>2025</v>
      </c>
      <c r="E700" s="1" t="s">
        <v>23</v>
      </c>
      <c r="F700" s="1">
        <v>73687829</v>
      </c>
      <c r="G700" s="1">
        <v>36929932</v>
      </c>
      <c r="H700" s="1">
        <v>36757897</v>
      </c>
      <c r="I700" s="1">
        <v>6444145</v>
      </c>
      <c r="J700" s="1">
        <v>271205</v>
      </c>
      <c r="K700" s="1">
        <v>8.75</v>
      </c>
      <c r="L700" s="1">
        <v>16.600000000000001</v>
      </c>
      <c r="M700" s="1">
        <v>30.19</v>
      </c>
      <c r="N700" s="1">
        <v>9.5299999999999994</v>
      </c>
      <c r="O700" s="1">
        <v>24.81</v>
      </c>
      <c r="P700" s="1">
        <v>34.46</v>
      </c>
      <c r="Q700" s="1">
        <v>789.48</v>
      </c>
      <c r="R700" s="1">
        <v>66</v>
      </c>
      <c r="S700" s="1">
        <v>69.5</v>
      </c>
    </row>
    <row r="701" spans="1:19" ht="15">
      <c r="A701" s="1">
        <v>39</v>
      </c>
      <c r="B701" s="1" t="s">
        <v>64</v>
      </c>
      <c r="C701" s="1" t="s">
        <v>56</v>
      </c>
      <c r="D701" s="1">
        <v>2026</v>
      </c>
      <c r="E701" s="1" t="s">
        <v>21</v>
      </c>
      <c r="F701" s="1">
        <v>16285863</v>
      </c>
      <c r="G701" s="1">
        <v>8331819</v>
      </c>
      <c r="H701" s="1">
        <v>7954044</v>
      </c>
      <c r="I701" s="1">
        <v>1166333</v>
      </c>
      <c r="J701" s="1">
        <v>78146</v>
      </c>
      <c r="K701" s="1">
        <v>7.16</v>
      </c>
      <c r="L701" s="1">
        <v>20.18</v>
      </c>
      <c r="M701" s="1">
        <v>20.87</v>
      </c>
      <c r="N701" s="1">
        <v>13.98</v>
      </c>
      <c r="O701" s="1">
        <v>26.14</v>
      </c>
      <c r="P701" s="1">
        <v>32.869999999999997</v>
      </c>
      <c r="Q701" s="1">
        <v>7439.45</v>
      </c>
      <c r="R701" s="1">
        <v>51</v>
      </c>
      <c r="S701" s="1">
        <v>73.2</v>
      </c>
    </row>
    <row r="702" spans="1:19" ht="15">
      <c r="A702" s="1">
        <v>39</v>
      </c>
      <c r="B702" s="1" t="s">
        <v>64</v>
      </c>
      <c r="C702" s="1" t="s">
        <v>56</v>
      </c>
      <c r="D702" s="1">
        <v>2026</v>
      </c>
      <c r="E702" s="1" t="s">
        <v>22</v>
      </c>
      <c r="F702" s="1">
        <v>111287979</v>
      </c>
      <c r="G702" s="1">
        <v>54577703</v>
      </c>
      <c r="H702" s="1">
        <v>56710276</v>
      </c>
      <c r="I702" s="1">
        <v>7115095</v>
      </c>
      <c r="J702" s="1">
        <v>221782</v>
      </c>
      <c r="K702" s="1">
        <v>6.39</v>
      </c>
      <c r="L702" s="1">
        <v>26.36</v>
      </c>
      <c r="M702" s="1">
        <v>13.03</v>
      </c>
      <c r="N702" s="1">
        <v>12.83</v>
      </c>
      <c r="O702" s="1">
        <v>39.71</v>
      </c>
      <c r="P702" s="1">
        <v>15.39</v>
      </c>
      <c r="Q702" s="1">
        <v>4682.5</v>
      </c>
      <c r="R702" s="1">
        <v>56</v>
      </c>
      <c r="S702" s="1">
        <v>63.9</v>
      </c>
    </row>
    <row r="703" spans="1:19" ht="15">
      <c r="A703" s="1">
        <v>39</v>
      </c>
      <c r="B703" s="1" t="s">
        <v>64</v>
      </c>
      <c r="C703" s="1" t="s">
        <v>56</v>
      </c>
      <c r="D703" s="1">
        <v>2026</v>
      </c>
      <c r="E703" s="1" t="s">
        <v>23</v>
      </c>
      <c r="F703" s="1">
        <v>108613438</v>
      </c>
      <c r="G703" s="1">
        <v>53400118</v>
      </c>
      <c r="H703" s="1">
        <v>55213320</v>
      </c>
      <c r="I703" s="1">
        <v>6274876</v>
      </c>
      <c r="J703" s="1">
        <v>223056</v>
      </c>
      <c r="K703" s="1">
        <v>5.78</v>
      </c>
      <c r="L703" s="1">
        <v>13.4</v>
      </c>
      <c r="M703" s="1">
        <v>29.06</v>
      </c>
      <c r="N703" s="1">
        <v>12.55</v>
      </c>
      <c r="O703" s="1">
        <v>38.299999999999997</v>
      </c>
      <c r="P703" s="1">
        <v>15.2</v>
      </c>
      <c r="Q703" s="1">
        <v>7670.19</v>
      </c>
      <c r="R703" s="1">
        <v>58</v>
      </c>
      <c r="S703" s="1">
        <v>71.2</v>
      </c>
    </row>
    <row r="704" spans="1:19" ht="15">
      <c r="A704" s="1">
        <v>40</v>
      </c>
      <c r="B704" s="1" t="s">
        <v>65</v>
      </c>
      <c r="C704" s="1" t="s">
        <v>56</v>
      </c>
      <c r="D704" s="1">
        <v>2021</v>
      </c>
      <c r="E704" s="1" t="s">
        <v>21</v>
      </c>
      <c r="F704" s="1">
        <v>117909059</v>
      </c>
      <c r="G704" s="1">
        <v>60039502</v>
      </c>
      <c r="H704" s="1">
        <v>57869557</v>
      </c>
      <c r="I704" s="1">
        <v>9037761</v>
      </c>
      <c r="J704" s="1">
        <v>366473</v>
      </c>
      <c r="K704" s="1">
        <v>7.67</v>
      </c>
      <c r="L704" s="1">
        <v>21.74</v>
      </c>
      <c r="M704" s="1">
        <v>27.57</v>
      </c>
      <c r="N704" s="1">
        <v>14.52</v>
      </c>
      <c r="O704" s="1">
        <v>27.67</v>
      </c>
      <c r="P704" s="1">
        <v>30.28</v>
      </c>
      <c r="Q704" s="1">
        <v>9546.6200000000008</v>
      </c>
      <c r="R704" s="1">
        <v>54</v>
      </c>
      <c r="S704" s="1">
        <v>78.7</v>
      </c>
    </row>
    <row r="705" spans="1:19" ht="15">
      <c r="A705" s="1">
        <v>40</v>
      </c>
      <c r="B705" s="1" t="s">
        <v>65</v>
      </c>
      <c r="C705" s="1" t="s">
        <v>56</v>
      </c>
      <c r="D705" s="1">
        <v>2021</v>
      </c>
      <c r="E705" s="1" t="s">
        <v>22</v>
      </c>
      <c r="F705" s="1">
        <v>172419529</v>
      </c>
      <c r="G705" s="1">
        <v>84052409</v>
      </c>
      <c r="H705" s="1">
        <v>88367120</v>
      </c>
      <c r="I705" s="1">
        <v>9301582</v>
      </c>
      <c r="J705" s="1">
        <v>530108</v>
      </c>
      <c r="K705" s="1">
        <v>5.39</v>
      </c>
      <c r="L705" s="1">
        <v>25.59</v>
      </c>
      <c r="M705" s="1">
        <v>15.36</v>
      </c>
      <c r="N705" s="1">
        <v>5.34</v>
      </c>
      <c r="O705" s="1">
        <v>24.72</v>
      </c>
      <c r="P705" s="1">
        <v>23.81</v>
      </c>
      <c r="Q705" s="1">
        <v>6813.47</v>
      </c>
      <c r="R705" s="1">
        <v>52</v>
      </c>
      <c r="S705" s="1">
        <v>61.1</v>
      </c>
    </row>
    <row r="706" spans="1:19" ht="15">
      <c r="A706" s="1">
        <v>40</v>
      </c>
      <c r="B706" s="1" t="s">
        <v>65</v>
      </c>
      <c r="C706" s="1" t="s">
        <v>56</v>
      </c>
      <c r="D706" s="1">
        <v>2021</v>
      </c>
      <c r="E706" s="1" t="s">
        <v>23</v>
      </c>
      <c r="F706" s="1">
        <v>138010449</v>
      </c>
      <c r="G706" s="1">
        <v>67224060</v>
      </c>
      <c r="H706" s="1">
        <v>70786389</v>
      </c>
      <c r="I706" s="1">
        <v>13755740</v>
      </c>
      <c r="J706" s="1">
        <v>450929</v>
      </c>
      <c r="K706" s="1">
        <v>9.9700000000000006</v>
      </c>
      <c r="L706" s="1">
        <v>26.08</v>
      </c>
      <c r="M706" s="1">
        <v>31.77</v>
      </c>
      <c r="N706" s="1">
        <v>5.12</v>
      </c>
      <c r="O706" s="1">
        <v>24.61</v>
      </c>
      <c r="P706" s="1">
        <v>32.869999999999997</v>
      </c>
      <c r="Q706" s="1">
        <v>11951.87</v>
      </c>
      <c r="R706" s="1">
        <v>74</v>
      </c>
      <c r="S706" s="1">
        <v>74</v>
      </c>
    </row>
    <row r="707" spans="1:19" ht="15">
      <c r="A707" s="1">
        <v>40</v>
      </c>
      <c r="B707" s="1" t="s">
        <v>65</v>
      </c>
      <c r="C707" s="1" t="s">
        <v>56</v>
      </c>
      <c r="D707" s="1">
        <v>2022</v>
      </c>
      <c r="E707" s="1" t="s">
        <v>21</v>
      </c>
      <c r="F707" s="1">
        <v>173011942</v>
      </c>
      <c r="G707" s="1">
        <v>87749796</v>
      </c>
      <c r="H707" s="1">
        <v>85262146</v>
      </c>
      <c r="I707" s="1">
        <v>13175325</v>
      </c>
      <c r="J707" s="1">
        <v>869481</v>
      </c>
      <c r="K707" s="1">
        <v>7.62</v>
      </c>
      <c r="L707" s="1">
        <v>23.56</v>
      </c>
      <c r="M707" s="1">
        <v>16.47</v>
      </c>
      <c r="N707" s="1">
        <v>8.5500000000000007</v>
      </c>
      <c r="O707" s="1">
        <v>37.47</v>
      </c>
      <c r="P707" s="1">
        <v>21.38</v>
      </c>
      <c r="Q707" s="1">
        <v>2996.56</v>
      </c>
      <c r="R707" s="1">
        <v>79</v>
      </c>
      <c r="S707" s="1">
        <v>72.5</v>
      </c>
    </row>
    <row r="708" spans="1:19" ht="15">
      <c r="A708" s="1">
        <v>40</v>
      </c>
      <c r="B708" s="1" t="s">
        <v>65</v>
      </c>
      <c r="C708" s="1" t="s">
        <v>56</v>
      </c>
      <c r="D708" s="1">
        <v>2022</v>
      </c>
      <c r="E708" s="1" t="s">
        <v>22</v>
      </c>
      <c r="F708" s="1">
        <v>139013261</v>
      </c>
      <c r="G708" s="1">
        <v>68829253</v>
      </c>
      <c r="H708" s="1">
        <v>70184008</v>
      </c>
      <c r="I708" s="1">
        <v>8356924</v>
      </c>
      <c r="J708" s="1">
        <v>661819</v>
      </c>
      <c r="K708" s="1">
        <v>6.01</v>
      </c>
      <c r="L708" s="1">
        <v>16.239999999999998</v>
      </c>
      <c r="M708" s="1">
        <v>14.21</v>
      </c>
      <c r="N708" s="1">
        <v>10.56</v>
      </c>
      <c r="O708" s="1">
        <v>25.91</v>
      </c>
      <c r="P708" s="1">
        <v>18.68</v>
      </c>
      <c r="Q708" s="1">
        <v>8470.19</v>
      </c>
      <c r="R708" s="1">
        <v>76</v>
      </c>
      <c r="S708" s="1">
        <v>78.400000000000006</v>
      </c>
    </row>
    <row r="709" spans="1:19" ht="15">
      <c r="A709" s="1">
        <v>40</v>
      </c>
      <c r="B709" s="1" t="s">
        <v>65</v>
      </c>
      <c r="C709" s="1" t="s">
        <v>56</v>
      </c>
      <c r="D709" s="1">
        <v>2022</v>
      </c>
      <c r="E709" s="1" t="s">
        <v>23</v>
      </c>
      <c r="F709" s="1">
        <v>195754465</v>
      </c>
      <c r="G709" s="1">
        <v>96455093</v>
      </c>
      <c r="H709" s="1">
        <v>99299372</v>
      </c>
      <c r="I709" s="1">
        <v>10847034</v>
      </c>
      <c r="J709" s="1">
        <v>812781</v>
      </c>
      <c r="K709" s="1">
        <v>5.54</v>
      </c>
      <c r="L709" s="1">
        <v>25.27</v>
      </c>
      <c r="M709" s="1">
        <v>22.38</v>
      </c>
      <c r="N709" s="1">
        <v>5.47</v>
      </c>
      <c r="O709" s="1">
        <v>25.26</v>
      </c>
      <c r="P709" s="1">
        <v>35.659999999999997</v>
      </c>
      <c r="Q709" s="1">
        <v>5930.71</v>
      </c>
      <c r="R709" s="1">
        <v>78</v>
      </c>
      <c r="S709" s="1">
        <v>60.5</v>
      </c>
    </row>
    <row r="710" spans="1:19" ht="15">
      <c r="A710" s="1">
        <v>40</v>
      </c>
      <c r="B710" s="1" t="s">
        <v>65</v>
      </c>
      <c r="C710" s="1" t="s">
        <v>56</v>
      </c>
      <c r="D710" s="1">
        <v>2023</v>
      </c>
      <c r="E710" s="1" t="s">
        <v>21</v>
      </c>
      <c r="F710" s="1">
        <v>118865990</v>
      </c>
      <c r="G710" s="1">
        <v>58330821</v>
      </c>
      <c r="H710" s="1">
        <v>60535169</v>
      </c>
      <c r="I710" s="1">
        <v>8536806</v>
      </c>
      <c r="J710" s="1">
        <v>391743</v>
      </c>
      <c r="K710" s="1">
        <v>7.18</v>
      </c>
      <c r="L710" s="1">
        <v>12.88</v>
      </c>
      <c r="M710" s="1">
        <v>15.13</v>
      </c>
      <c r="N710" s="1">
        <v>8.9700000000000006</v>
      </c>
      <c r="O710" s="1">
        <v>27.92</v>
      </c>
      <c r="P710" s="1">
        <v>35.51</v>
      </c>
      <c r="Q710" s="1">
        <v>6935.49</v>
      </c>
      <c r="R710" s="1">
        <v>61</v>
      </c>
      <c r="S710" s="1">
        <v>73.7</v>
      </c>
    </row>
    <row r="711" spans="1:19" ht="15">
      <c r="A711" s="1">
        <v>40</v>
      </c>
      <c r="B711" s="1" t="s">
        <v>65</v>
      </c>
      <c r="C711" s="1" t="s">
        <v>56</v>
      </c>
      <c r="D711" s="1">
        <v>2023</v>
      </c>
      <c r="E711" s="1" t="s">
        <v>22</v>
      </c>
      <c r="F711" s="1">
        <v>185819446</v>
      </c>
      <c r="G711" s="1">
        <v>91646994</v>
      </c>
      <c r="H711" s="1">
        <v>94172452</v>
      </c>
      <c r="I711" s="1">
        <v>13659321</v>
      </c>
      <c r="J711" s="1">
        <v>626732</v>
      </c>
      <c r="K711" s="1">
        <v>7.35</v>
      </c>
      <c r="L711" s="1">
        <v>17.98</v>
      </c>
      <c r="M711" s="1">
        <v>20.93</v>
      </c>
      <c r="N711" s="1">
        <v>8.0500000000000007</v>
      </c>
      <c r="O711" s="1">
        <v>31.69</v>
      </c>
      <c r="P711" s="1">
        <v>34.93</v>
      </c>
      <c r="Q711" s="1">
        <v>4484.91</v>
      </c>
      <c r="R711" s="1">
        <v>70</v>
      </c>
      <c r="S711" s="1">
        <v>62.2</v>
      </c>
    </row>
    <row r="712" spans="1:19" ht="15">
      <c r="A712" s="1">
        <v>40</v>
      </c>
      <c r="B712" s="1" t="s">
        <v>65</v>
      </c>
      <c r="C712" s="1" t="s">
        <v>56</v>
      </c>
      <c r="D712" s="1">
        <v>2023</v>
      </c>
      <c r="E712" s="1" t="s">
        <v>23</v>
      </c>
      <c r="F712" s="1">
        <v>65707983</v>
      </c>
      <c r="G712" s="1">
        <v>33855710</v>
      </c>
      <c r="H712" s="1">
        <v>31852273</v>
      </c>
      <c r="I712" s="1">
        <v>6229124</v>
      </c>
      <c r="J712" s="1">
        <v>331823</v>
      </c>
      <c r="K712" s="1">
        <v>9.48</v>
      </c>
      <c r="L712" s="1">
        <v>12.42</v>
      </c>
      <c r="M712" s="1">
        <v>29.65</v>
      </c>
      <c r="N712" s="1">
        <v>11.05</v>
      </c>
      <c r="O712" s="1">
        <v>33.909999999999997</v>
      </c>
      <c r="P712" s="1">
        <v>30.06</v>
      </c>
      <c r="Q712" s="1">
        <v>5832.08</v>
      </c>
      <c r="R712" s="1">
        <v>47</v>
      </c>
      <c r="S712" s="1">
        <v>76.8</v>
      </c>
    </row>
    <row r="713" spans="1:19" ht="15">
      <c r="A713" s="1">
        <v>40</v>
      </c>
      <c r="B713" s="1" t="s">
        <v>65</v>
      </c>
      <c r="C713" s="1" t="s">
        <v>56</v>
      </c>
      <c r="D713" s="1">
        <v>2024</v>
      </c>
      <c r="E713" s="1" t="s">
        <v>21</v>
      </c>
      <c r="F713" s="1">
        <v>35957963</v>
      </c>
      <c r="G713" s="1">
        <v>18668739</v>
      </c>
      <c r="H713" s="1">
        <v>17289224</v>
      </c>
      <c r="I713" s="1">
        <v>2022610</v>
      </c>
      <c r="J713" s="1">
        <v>64233</v>
      </c>
      <c r="K713" s="1">
        <v>5.62</v>
      </c>
      <c r="L713" s="1">
        <v>13.18</v>
      </c>
      <c r="M713" s="1">
        <v>15.39</v>
      </c>
      <c r="N713" s="1">
        <v>14.38</v>
      </c>
      <c r="O713" s="1">
        <v>27.31</v>
      </c>
      <c r="P713" s="1">
        <v>29.63</v>
      </c>
      <c r="Q713" s="1">
        <v>11584.36</v>
      </c>
      <c r="R713" s="1">
        <v>84</v>
      </c>
      <c r="S713" s="1">
        <v>73.3</v>
      </c>
    </row>
    <row r="714" spans="1:19" ht="15">
      <c r="A714" s="1">
        <v>40</v>
      </c>
      <c r="B714" s="1" t="s">
        <v>65</v>
      </c>
      <c r="C714" s="1" t="s">
        <v>56</v>
      </c>
      <c r="D714" s="1">
        <v>2024</v>
      </c>
      <c r="E714" s="1" t="s">
        <v>22</v>
      </c>
      <c r="F714" s="1">
        <v>101769001</v>
      </c>
      <c r="G714" s="1">
        <v>52173935</v>
      </c>
      <c r="H714" s="1">
        <v>49595066</v>
      </c>
      <c r="I714" s="1">
        <v>7151125</v>
      </c>
      <c r="J714" s="1">
        <v>269149</v>
      </c>
      <c r="K714" s="1">
        <v>7.03</v>
      </c>
      <c r="L714" s="1">
        <v>24.67</v>
      </c>
      <c r="M714" s="1">
        <v>28.42</v>
      </c>
      <c r="N714" s="1">
        <v>9.2100000000000009</v>
      </c>
      <c r="O714" s="1">
        <v>30.49</v>
      </c>
      <c r="P714" s="1">
        <v>32.86</v>
      </c>
      <c r="Q714" s="1">
        <v>9788.4599999999991</v>
      </c>
      <c r="R714" s="1">
        <v>55</v>
      </c>
      <c r="S714" s="1">
        <v>67.599999999999994</v>
      </c>
    </row>
    <row r="715" spans="1:19" ht="15">
      <c r="A715" s="1">
        <v>40</v>
      </c>
      <c r="B715" s="1" t="s">
        <v>65</v>
      </c>
      <c r="C715" s="1" t="s">
        <v>56</v>
      </c>
      <c r="D715" s="1">
        <v>2024</v>
      </c>
      <c r="E715" s="1" t="s">
        <v>23</v>
      </c>
      <c r="F715" s="1">
        <v>187449405</v>
      </c>
      <c r="G715" s="1">
        <v>96752558</v>
      </c>
      <c r="H715" s="1">
        <v>90696847</v>
      </c>
      <c r="I715" s="1">
        <v>16231609</v>
      </c>
      <c r="J715" s="1">
        <v>699822</v>
      </c>
      <c r="K715" s="1">
        <v>8.66</v>
      </c>
      <c r="L715" s="1">
        <v>11.54</v>
      </c>
      <c r="M715" s="1">
        <v>19.559999999999999</v>
      </c>
      <c r="N715" s="1">
        <v>12</v>
      </c>
      <c r="O715" s="1">
        <v>21.72</v>
      </c>
      <c r="P715" s="1">
        <v>34.44</v>
      </c>
      <c r="Q715" s="1">
        <v>6748.39</v>
      </c>
      <c r="R715" s="1">
        <v>82</v>
      </c>
      <c r="S715" s="1">
        <v>76.400000000000006</v>
      </c>
    </row>
    <row r="716" spans="1:19" ht="15">
      <c r="A716" s="1">
        <v>40</v>
      </c>
      <c r="B716" s="1" t="s">
        <v>65</v>
      </c>
      <c r="C716" s="1" t="s">
        <v>56</v>
      </c>
      <c r="D716" s="1">
        <v>2025</v>
      </c>
      <c r="E716" s="1" t="s">
        <v>21</v>
      </c>
      <c r="F716" s="1">
        <v>141278883</v>
      </c>
      <c r="G716" s="1">
        <v>69641223</v>
      </c>
      <c r="H716" s="1">
        <v>71637660</v>
      </c>
      <c r="I716" s="1">
        <v>12944766</v>
      </c>
      <c r="J716" s="1">
        <v>506750</v>
      </c>
      <c r="K716" s="1">
        <v>9.16</v>
      </c>
      <c r="L716" s="1">
        <v>13.26</v>
      </c>
      <c r="M716" s="1">
        <v>31.96</v>
      </c>
      <c r="N716" s="1">
        <v>12.57</v>
      </c>
      <c r="O716" s="1">
        <v>37.9</v>
      </c>
      <c r="P716" s="1">
        <v>32.85</v>
      </c>
      <c r="Q716" s="1">
        <v>959.15</v>
      </c>
      <c r="R716" s="1">
        <v>65</v>
      </c>
      <c r="S716" s="1">
        <v>74.099999999999994</v>
      </c>
    </row>
    <row r="717" spans="1:19" ht="15">
      <c r="A717" s="1">
        <v>40</v>
      </c>
      <c r="B717" s="1" t="s">
        <v>65</v>
      </c>
      <c r="C717" s="1" t="s">
        <v>56</v>
      </c>
      <c r="D717" s="1">
        <v>2025</v>
      </c>
      <c r="E717" s="1" t="s">
        <v>22</v>
      </c>
      <c r="F717" s="1">
        <v>183452861</v>
      </c>
      <c r="G717" s="1">
        <v>90451201</v>
      </c>
      <c r="H717" s="1">
        <v>93001660</v>
      </c>
      <c r="I717" s="1">
        <v>10521446</v>
      </c>
      <c r="J717" s="1">
        <v>665125</v>
      </c>
      <c r="K717" s="1">
        <v>5.74</v>
      </c>
      <c r="L717" s="1">
        <v>25.65</v>
      </c>
      <c r="M717" s="1">
        <v>16.420000000000002</v>
      </c>
      <c r="N717" s="1">
        <v>7.35</v>
      </c>
      <c r="O717" s="1">
        <v>27.4</v>
      </c>
      <c r="P717" s="1">
        <v>31.49</v>
      </c>
      <c r="Q717" s="1">
        <v>8973.5300000000007</v>
      </c>
      <c r="R717" s="1">
        <v>45</v>
      </c>
      <c r="S717" s="1">
        <v>65.3</v>
      </c>
    </row>
    <row r="718" spans="1:19" ht="15">
      <c r="A718" s="1">
        <v>40</v>
      </c>
      <c r="B718" s="1" t="s">
        <v>65</v>
      </c>
      <c r="C718" s="1" t="s">
        <v>56</v>
      </c>
      <c r="D718" s="1">
        <v>2025</v>
      </c>
      <c r="E718" s="1" t="s">
        <v>23</v>
      </c>
      <c r="F718" s="1">
        <v>19618341</v>
      </c>
      <c r="G718" s="1">
        <v>9649291</v>
      </c>
      <c r="H718" s="1">
        <v>9969050</v>
      </c>
      <c r="I718" s="1">
        <v>1289368</v>
      </c>
      <c r="J718" s="1">
        <v>101337</v>
      </c>
      <c r="K718" s="1">
        <v>6.57</v>
      </c>
      <c r="L718" s="1">
        <v>22.8</v>
      </c>
      <c r="M718" s="1">
        <v>17.48</v>
      </c>
      <c r="N718" s="1">
        <v>13.53</v>
      </c>
      <c r="O718" s="1">
        <v>34.590000000000003</v>
      </c>
      <c r="P718" s="1">
        <v>32.06</v>
      </c>
      <c r="Q718" s="1">
        <v>8141.23</v>
      </c>
      <c r="R718" s="1">
        <v>45</v>
      </c>
      <c r="S718" s="1">
        <v>74.599999999999994</v>
      </c>
    </row>
    <row r="719" spans="1:19" ht="15">
      <c r="A719" s="1">
        <v>40</v>
      </c>
      <c r="B719" s="1" t="s">
        <v>65</v>
      </c>
      <c r="C719" s="1" t="s">
        <v>56</v>
      </c>
      <c r="D719" s="1">
        <v>2026</v>
      </c>
      <c r="E719" s="1" t="s">
        <v>21</v>
      </c>
      <c r="F719" s="1">
        <v>85446459</v>
      </c>
      <c r="G719" s="1">
        <v>42609266</v>
      </c>
      <c r="H719" s="1">
        <v>42837193</v>
      </c>
      <c r="I719" s="1">
        <v>5797622</v>
      </c>
      <c r="J719" s="1">
        <v>197776</v>
      </c>
      <c r="K719" s="1">
        <v>6.79</v>
      </c>
      <c r="L719" s="1">
        <v>23.81</v>
      </c>
      <c r="M719" s="1">
        <v>34.69</v>
      </c>
      <c r="N719" s="1">
        <v>12.54</v>
      </c>
      <c r="O719" s="1">
        <v>33.03</v>
      </c>
      <c r="P719" s="1">
        <v>35.729999999999997</v>
      </c>
      <c r="Q719" s="1">
        <v>1904.63</v>
      </c>
      <c r="R719" s="1">
        <v>43</v>
      </c>
      <c r="S719" s="1">
        <v>69.900000000000006</v>
      </c>
    </row>
    <row r="720" spans="1:19" ht="15">
      <c r="A720" s="1">
        <v>40</v>
      </c>
      <c r="B720" s="1" t="s">
        <v>65</v>
      </c>
      <c r="C720" s="1" t="s">
        <v>56</v>
      </c>
      <c r="D720" s="1">
        <v>2026</v>
      </c>
      <c r="E720" s="1" t="s">
        <v>22</v>
      </c>
      <c r="F720" s="1">
        <v>122270354</v>
      </c>
      <c r="G720" s="1">
        <v>59699746</v>
      </c>
      <c r="H720" s="1">
        <v>62570608</v>
      </c>
      <c r="I720" s="1">
        <v>7565454</v>
      </c>
      <c r="J720" s="1">
        <v>239742</v>
      </c>
      <c r="K720" s="1">
        <v>6.19</v>
      </c>
      <c r="L720" s="1">
        <v>15.92</v>
      </c>
      <c r="M720" s="1">
        <v>10.35</v>
      </c>
      <c r="N720" s="1">
        <v>7.73</v>
      </c>
      <c r="O720" s="1">
        <v>34.57</v>
      </c>
      <c r="P720" s="1">
        <v>38.22</v>
      </c>
      <c r="Q720" s="1">
        <v>11159.2</v>
      </c>
      <c r="R720" s="1">
        <v>43</v>
      </c>
      <c r="S720" s="1">
        <v>72.400000000000006</v>
      </c>
    </row>
    <row r="721" spans="1:19" ht="15">
      <c r="A721" s="1">
        <v>40</v>
      </c>
      <c r="B721" s="1" t="s">
        <v>65</v>
      </c>
      <c r="C721" s="1" t="s">
        <v>56</v>
      </c>
      <c r="D721" s="1">
        <v>2026</v>
      </c>
      <c r="E721" s="1" t="s">
        <v>23</v>
      </c>
      <c r="F721" s="1">
        <v>121687817</v>
      </c>
      <c r="G721" s="1">
        <v>60598751</v>
      </c>
      <c r="H721" s="1">
        <v>61089066</v>
      </c>
      <c r="I721" s="1">
        <v>9480243</v>
      </c>
      <c r="J721" s="1">
        <v>730023</v>
      </c>
      <c r="K721" s="1">
        <v>7.79</v>
      </c>
      <c r="L721" s="1">
        <v>14</v>
      </c>
      <c r="M721" s="1">
        <v>12.91</v>
      </c>
      <c r="N721" s="1">
        <v>9.9499999999999993</v>
      </c>
      <c r="O721" s="1">
        <v>36.56</v>
      </c>
      <c r="P721" s="1">
        <v>26.74</v>
      </c>
      <c r="Q721" s="1">
        <v>1281.01</v>
      </c>
      <c r="R721" s="1">
        <v>78</v>
      </c>
      <c r="S721" s="1">
        <v>63.9</v>
      </c>
    </row>
    <row r="722" spans="1:19" ht="15">
      <c r="A722" s="1">
        <v>41</v>
      </c>
      <c r="B722" s="1" t="s">
        <v>66</v>
      </c>
      <c r="C722" s="1" t="s">
        <v>56</v>
      </c>
      <c r="D722" s="1">
        <v>2021</v>
      </c>
      <c r="E722" s="1" t="s">
        <v>21</v>
      </c>
      <c r="F722" s="1">
        <v>159925305</v>
      </c>
      <c r="G722" s="1">
        <v>77855976</v>
      </c>
      <c r="H722" s="1">
        <v>82069329</v>
      </c>
      <c r="I722" s="1">
        <v>8349763</v>
      </c>
      <c r="J722" s="1">
        <v>405262</v>
      </c>
      <c r="K722" s="1">
        <v>5.22</v>
      </c>
      <c r="L722" s="1">
        <v>14.08</v>
      </c>
      <c r="M722" s="1">
        <v>34.450000000000003</v>
      </c>
      <c r="N722" s="1">
        <v>9.1</v>
      </c>
      <c r="O722" s="1">
        <v>28.1</v>
      </c>
      <c r="P722" s="1">
        <v>22.02</v>
      </c>
      <c r="Q722" s="1">
        <v>1554.03</v>
      </c>
      <c r="R722" s="1">
        <v>63</v>
      </c>
      <c r="S722" s="1">
        <v>77.2</v>
      </c>
    </row>
    <row r="723" spans="1:19" ht="15">
      <c r="A723" s="1">
        <v>41</v>
      </c>
      <c r="B723" s="1" t="s">
        <v>66</v>
      </c>
      <c r="C723" s="1" t="s">
        <v>56</v>
      </c>
      <c r="D723" s="1">
        <v>2021</v>
      </c>
      <c r="E723" s="1" t="s">
        <v>22</v>
      </c>
      <c r="F723" s="1">
        <v>40512583</v>
      </c>
      <c r="G723" s="1">
        <v>21058105</v>
      </c>
      <c r="H723" s="1">
        <v>19454478</v>
      </c>
      <c r="I723" s="1">
        <v>3941841</v>
      </c>
      <c r="J723" s="1">
        <v>169417</v>
      </c>
      <c r="K723" s="1">
        <v>9.73</v>
      </c>
      <c r="L723" s="1">
        <v>29.64</v>
      </c>
      <c r="M723" s="1">
        <v>29.17</v>
      </c>
      <c r="N723" s="1">
        <v>14.55</v>
      </c>
      <c r="O723" s="1">
        <v>23.84</v>
      </c>
      <c r="P723" s="1">
        <v>38.869999999999997</v>
      </c>
      <c r="Q723" s="1">
        <v>1938.97</v>
      </c>
      <c r="R723" s="1">
        <v>63</v>
      </c>
      <c r="S723" s="1">
        <v>64.900000000000006</v>
      </c>
    </row>
    <row r="724" spans="1:19" ht="15">
      <c r="A724" s="1">
        <v>41</v>
      </c>
      <c r="B724" s="1" t="s">
        <v>66</v>
      </c>
      <c r="C724" s="1" t="s">
        <v>56</v>
      </c>
      <c r="D724" s="1">
        <v>2021</v>
      </c>
      <c r="E724" s="1" t="s">
        <v>23</v>
      </c>
      <c r="F724" s="1">
        <v>136273685</v>
      </c>
      <c r="G724" s="1">
        <v>70330027</v>
      </c>
      <c r="H724" s="1">
        <v>65943658</v>
      </c>
      <c r="I724" s="1">
        <v>10416641</v>
      </c>
      <c r="J724" s="1">
        <v>412981</v>
      </c>
      <c r="K724" s="1">
        <v>7.64</v>
      </c>
      <c r="L724" s="1">
        <v>24.38</v>
      </c>
      <c r="M724" s="1">
        <v>16.84</v>
      </c>
      <c r="N724" s="1">
        <v>7.2</v>
      </c>
      <c r="O724" s="1">
        <v>20.57</v>
      </c>
      <c r="P724" s="1">
        <v>30.19</v>
      </c>
      <c r="Q724" s="1">
        <v>8688.33</v>
      </c>
      <c r="R724" s="1">
        <v>42</v>
      </c>
      <c r="S724" s="1">
        <v>67.5</v>
      </c>
    </row>
    <row r="725" spans="1:19" ht="15">
      <c r="A725" s="1">
        <v>41</v>
      </c>
      <c r="B725" s="1" t="s">
        <v>66</v>
      </c>
      <c r="C725" s="1" t="s">
        <v>56</v>
      </c>
      <c r="D725" s="1">
        <v>2022</v>
      </c>
      <c r="E725" s="1" t="s">
        <v>21</v>
      </c>
      <c r="F725" s="1">
        <v>43056218</v>
      </c>
      <c r="G725" s="1">
        <v>21244079</v>
      </c>
      <c r="H725" s="1">
        <v>21812139</v>
      </c>
      <c r="I725" s="1">
        <v>3330217</v>
      </c>
      <c r="J725" s="1">
        <v>225530</v>
      </c>
      <c r="K725" s="1">
        <v>7.73</v>
      </c>
      <c r="L725" s="1">
        <v>25.89</v>
      </c>
      <c r="M725" s="1">
        <v>27.72</v>
      </c>
      <c r="N725" s="1">
        <v>6.65</v>
      </c>
      <c r="O725" s="1">
        <v>29.23</v>
      </c>
      <c r="P725" s="1">
        <v>27.13</v>
      </c>
      <c r="Q725" s="1">
        <v>8937.76</v>
      </c>
      <c r="R725" s="1">
        <v>40</v>
      </c>
      <c r="S725" s="1">
        <v>74.099999999999994</v>
      </c>
    </row>
    <row r="726" spans="1:19" ht="15">
      <c r="A726" s="1">
        <v>41</v>
      </c>
      <c r="B726" s="1" t="s">
        <v>66</v>
      </c>
      <c r="C726" s="1" t="s">
        <v>56</v>
      </c>
      <c r="D726" s="1">
        <v>2022</v>
      </c>
      <c r="E726" s="1" t="s">
        <v>22</v>
      </c>
      <c r="F726" s="1">
        <v>144402681</v>
      </c>
      <c r="G726" s="1">
        <v>72509190</v>
      </c>
      <c r="H726" s="1">
        <v>71893491</v>
      </c>
      <c r="I726" s="1">
        <v>7429853</v>
      </c>
      <c r="J726" s="1">
        <v>380570</v>
      </c>
      <c r="K726" s="1">
        <v>5.15</v>
      </c>
      <c r="L726" s="1">
        <v>25.76</v>
      </c>
      <c r="M726" s="1">
        <v>27.72</v>
      </c>
      <c r="N726" s="1">
        <v>6.95</v>
      </c>
      <c r="O726" s="1">
        <v>23.64</v>
      </c>
      <c r="P726" s="1">
        <v>34.32</v>
      </c>
      <c r="Q726" s="1">
        <v>5887.2</v>
      </c>
      <c r="R726" s="1">
        <v>61</v>
      </c>
      <c r="S726" s="1">
        <v>66.5</v>
      </c>
    </row>
    <row r="727" spans="1:19" ht="15">
      <c r="A727" s="1">
        <v>41</v>
      </c>
      <c r="B727" s="1" t="s">
        <v>66</v>
      </c>
      <c r="C727" s="1" t="s">
        <v>56</v>
      </c>
      <c r="D727" s="1">
        <v>2022</v>
      </c>
      <c r="E727" s="1" t="s">
        <v>23</v>
      </c>
      <c r="F727" s="1">
        <v>55669342</v>
      </c>
      <c r="G727" s="1">
        <v>28328883</v>
      </c>
      <c r="H727" s="1">
        <v>27340459</v>
      </c>
      <c r="I727" s="1">
        <v>4730738</v>
      </c>
      <c r="J727" s="1">
        <v>298138</v>
      </c>
      <c r="K727" s="1">
        <v>8.5</v>
      </c>
      <c r="L727" s="1">
        <v>27.26</v>
      </c>
      <c r="M727" s="1">
        <v>27.11</v>
      </c>
      <c r="N727" s="1">
        <v>13.88</v>
      </c>
      <c r="O727" s="1">
        <v>33.71</v>
      </c>
      <c r="P727" s="1">
        <v>15.87</v>
      </c>
      <c r="Q727" s="1">
        <v>6014.96</v>
      </c>
      <c r="R727" s="1">
        <v>59</v>
      </c>
      <c r="S727" s="1">
        <v>77.900000000000006</v>
      </c>
    </row>
    <row r="728" spans="1:19" ht="15">
      <c r="A728" s="1">
        <v>41</v>
      </c>
      <c r="B728" s="1" t="s">
        <v>66</v>
      </c>
      <c r="C728" s="1" t="s">
        <v>56</v>
      </c>
      <c r="D728" s="1">
        <v>2023</v>
      </c>
      <c r="E728" s="1" t="s">
        <v>21</v>
      </c>
      <c r="F728" s="1">
        <v>199649412</v>
      </c>
      <c r="G728" s="1">
        <v>97450909</v>
      </c>
      <c r="H728" s="1">
        <v>102198503</v>
      </c>
      <c r="I728" s="1">
        <v>10392197</v>
      </c>
      <c r="J728" s="1">
        <v>684544</v>
      </c>
      <c r="K728" s="1">
        <v>5.21</v>
      </c>
      <c r="L728" s="1">
        <v>23.93</v>
      </c>
      <c r="M728" s="1">
        <v>12.04</v>
      </c>
      <c r="N728" s="1">
        <v>13.78</v>
      </c>
      <c r="O728" s="1">
        <v>27.87</v>
      </c>
      <c r="P728" s="1">
        <v>29.43</v>
      </c>
      <c r="Q728" s="1">
        <v>2043.94</v>
      </c>
      <c r="R728" s="1">
        <v>77</v>
      </c>
      <c r="S728" s="1">
        <v>75.3</v>
      </c>
    </row>
    <row r="729" spans="1:19" ht="15">
      <c r="A729" s="1">
        <v>41</v>
      </c>
      <c r="B729" s="1" t="s">
        <v>66</v>
      </c>
      <c r="C729" s="1" t="s">
        <v>56</v>
      </c>
      <c r="D729" s="1">
        <v>2023</v>
      </c>
      <c r="E729" s="1" t="s">
        <v>22</v>
      </c>
      <c r="F729" s="1">
        <v>197523442</v>
      </c>
      <c r="G729" s="1">
        <v>98398318</v>
      </c>
      <c r="H729" s="1">
        <v>99125124</v>
      </c>
      <c r="I729" s="1">
        <v>15068244</v>
      </c>
      <c r="J729" s="1">
        <v>899405</v>
      </c>
      <c r="K729" s="1">
        <v>7.63</v>
      </c>
      <c r="L729" s="1">
        <v>23.61</v>
      </c>
      <c r="M729" s="1">
        <v>21.37</v>
      </c>
      <c r="N729" s="1">
        <v>6.64</v>
      </c>
      <c r="O729" s="1">
        <v>34.1</v>
      </c>
      <c r="P729" s="1">
        <v>31.46</v>
      </c>
      <c r="Q729" s="1">
        <v>5964.07</v>
      </c>
      <c r="R729" s="1">
        <v>71</v>
      </c>
      <c r="S729" s="1">
        <v>63.7</v>
      </c>
    </row>
    <row r="730" spans="1:19" ht="15">
      <c r="A730" s="1">
        <v>41</v>
      </c>
      <c r="B730" s="1" t="s">
        <v>66</v>
      </c>
      <c r="C730" s="1" t="s">
        <v>56</v>
      </c>
      <c r="D730" s="1">
        <v>2023</v>
      </c>
      <c r="E730" s="1" t="s">
        <v>23</v>
      </c>
      <c r="F730" s="1">
        <v>99810314</v>
      </c>
      <c r="G730" s="1">
        <v>50037296</v>
      </c>
      <c r="H730" s="1">
        <v>49773018</v>
      </c>
      <c r="I730" s="1">
        <v>5977242</v>
      </c>
      <c r="J730" s="1">
        <v>189490</v>
      </c>
      <c r="K730" s="1">
        <v>5.99</v>
      </c>
      <c r="L730" s="1">
        <v>16.23</v>
      </c>
      <c r="M730" s="1">
        <v>20.57</v>
      </c>
      <c r="N730" s="1">
        <v>13.03</v>
      </c>
      <c r="O730" s="1">
        <v>28.83</v>
      </c>
      <c r="P730" s="1">
        <v>20.95</v>
      </c>
      <c r="Q730" s="1">
        <v>3198.99</v>
      </c>
      <c r="R730" s="1">
        <v>45</v>
      </c>
      <c r="S730" s="1">
        <v>65.900000000000006</v>
      </c>
    </row>
    <row r="731" spans="1:19" ht="15">
      <c r="A731" s="1">
        <v>41</v>
      </c>
      <c r="B731" s="1" t="s">
        <v>66</v>
      </c>
      <c r="C731" s="1" t="s">
        <v>56</v>
      </c>
      <c r="D731" s="1">
        <v>2024</v>
      </c>
      <c r="E731" s="1" t="s">
        <v>21</v>
      </c>
      <c r="F731" s="1">
        <v>157004751</v>
      </c>
      <c r="G731" s="1">
        <v>81201686</v>
      </c>
      <c r="H731" s="1">
        <v>75803065</v>
      </c>
      <c r="I731" s="1">
        <v>12456873</v>
      </c>
      <c r="J731" s="1">
        <v>687677</v>
      </c>
      <c r="K731" s="1">
        <v>7.93</v>
      </c>
      <c r="L731" s="1">
        <v>14.49</v>
      </c>
      <c r="M731" s="1">
        <v>30.75</v>
      </c>
      <c r="N731" s="1">
        <v>10.74</v>
      </c>
      <c r="O731" s="1">
        <v>22.03</v>
      </c>
      <c r="P731" s="1">
        <v>29.71</v>
      </c>
      <c r="Q731" s="1">
        <v>5198.97</v>
      </c>
      <c r="R731" s="1">
        <v>79</v>
      </c>
      <c r="S731" s="1">
        <v>68</v>
      </c>
    </row>
    <row r="732" spans="1:19" ht="15">
      <c r="A732" s="1">
        <v>41</v>
      </c>
      <c r="B732" s="1" t="s">
        <v>66</v>
      </c>
      <c r="C732" s="1" t="s">
        <v>56</v>
      </c>
      <c r="D732" s="1">
        <v>2024</v>
      </c>
      <c r="E732" s="1" t="s">
        <v>22</v>
      </c>
      <c r="F732" s="1">
        <v>93272477</v>
      </c>
      <c r="G732" s="1">
        <v>45454862</v>
      </c>
      <c r="H732" s="1">
        <v>47817615</v>
      </c>
      <c r="I732" s="1">
        <v>7953075</v>
      </c>
      <c r="J732" s="1">
        <v>630729</v>
      </c>
      <c r="K732" s="1">
        <v>8.5299999999999994</v>
      </c>
      <c r="L732" s="1">
        <v>10.64</v>
      </c>
      <c r="M732" s="1">
        <v>25.35</v>
      </c>
      <c r="N732" s="1">
        <v>9.52</v>
      </c>
      <c r="O732" s="1">
        <v>32.450000000000003</v>
      </c>
      <c r="P732" s="1">
        <v>32.200000000000003</v>
      </c>
      <c r="Q732" s="1">
        <v>593.55999999999995</v>
      </c>
      <c r="R732" s="1">
        <v>51</v>
      </c>
      <c r="S732" s="1">
        <v>64.5</v>
      </c>
    </row>
    <row r="733" spans="1:19" ht="15">
      <c r="A733" s="1">
        <v>41</v>
      </c>
      <c r="B733" s="1" t="s">
        <v>66</v>
      </c>
      <c r="C733" s="1" t="s">
        <v>56</v>
      </c>
      <c r="D733" s="1">
        <v>2024</v>
      </c>
      <c r="E733" s="1" t="s">
        <v>23</v>
      </c>
      <c r="F733" s="1">
        <v>169347868</v>
      </c>
      <c r="G733" s="1">
        <v>86828832</v>
      </c>
      <c r="H733" s="1">
        <v>82519036</v>
      </c>
      <c r="I733" s="1">
        <v>16030593</v>
      </c>
      <c r="J733" s="1">
        <v>1190585</v>
      </c>
      <c r="K733" s="1">
        <v>9.4700000000000006</v>
      </c>
      <c r="L733" s="1">
        <v>23.72</v>
      </c>
      <c r="M733" s="1">
        <v>27.49</v>
      </c>
      <c r="N733" s="1">
        <v>14.96</v>
      </c>
      <c r="O733" s="1">
        <v>20.57</v>
      </c>
      <c r="P733" s="1">
        <v>36.090000000000003</v>
      </c>
      <c r="Q733" s="1">
        <v>7614.04</v>
      </c>
      <c r="R733" s="1">
        <v>83</v>
      </c>
      <c r="S733" s="1">
        <v>81.099999999999994</v>
      </c>
    </row>
    <row r="734" spans="1:19" ht="15">
      <c r="A734" s="1">
        <v>41</v>
      </c>
      <c r="B734" s="1" t="s">
        <v>66</v>
      </c>
      <c r="C734" s="1" t="s">
        <v>56</v>
      </c>
      <c r="D734" s="1">
        <v>2025</v>
      </c>
      <c r="E734" s="1" t="s">
        <v>21</v>
      </c>
      <c r="F734" s="1">
        <v>190108131</v>
      </c>
      <c r="G734" s="1">
        <v>91940690</v>
      </c>
      <c r="H734" s="1">
        <v>98167441</v>
      </c>
      <c r="I734" s="1">
        <v>15196900</v>
      </c>
      <c r="J734" s="1">
        <v>792754</v>
      </c>
      <c r="K734" s="1">
        <v>7.99</v>
      </c>
      <c r="L734" s="1">
        <v>15.53</v>
      </c>
      <c r="M734" s="1">
        <v>14.35</v>
      </c>
      <c r="N734" s="1">
        <v>5.89</v>
      </c>
      <c r="O734" s="1">
        <v>22.1</v>
      </c>
      <c r="P734" s="1">
        <v>26.83</v>
      </c>
      <c r="Q734" s="1">
        <v>3140.84</v>
      </c>
      <c r="R734" s="1">
        <v>45</v>
      </c>
      <c r="S734" s="1">
        <v>77.400000000000006</v>
      </c>
    </row>
    <row r="735" spans="1:19" ht="15">
      <c r="A735" s="1">
        <v>41</v>
      </c>
      <c r="B735" s="1" t="s">
        <v>66</v>
      </c>
      <c r="C735" s="1" t="s">
        <v>56</v>
      </c>
      <c r="D735" s="1">
        <v>2025</v>
      </c>
      <c r="E735" s="1" t="s">
        <v>22</v>
      </c>
      <c r="F735" s="1">
        <v>38155618</v>
      </c>
      <c r="G735" s="1">
        <v>18368968</v>
      </c>
      <c r="H735" s="1">
        <v>19786650</v>
      </c>
      <c r="I735" s="1">
        <v>3702463</v>
      </c>
      <c r="J735" s="1">
        <v>162325</v>
      </c>
      <c r="K735" s="1">
        <v>9.6999999999999993</v>
      </c>
      <c r="L735" s="1">
        <v>10.29</v>
      </c>
      <c r="M735" s="1">
        <v>14.28</v>
      </c>
      <c r="N735" s="1">
        <v>10.69</v>
      </c>
      <c r="O735" s="1">
        <v>35.6</v>
      </c>
      <c r="P735" s="1">
        <v>26.66</v>
      </c>
      <c r="Q735" s="1">
        <v>8797.2900000000009</v>
      </c>
      <c r="R735" s="1">
        <v>65</v>
      </c>
      <c r="S735" s="1">
        <v>73.099999999999994</v>
      </c>
    </row>
    <row r="736" spans="1:19" ht="15">
      <c r="A736" s="1">
        <v>41</v>
      </c>
      <c r="B736" s="1" t="s">
        <v>66</v>
      </c>
      <c r="C736" s="1" t="s">
        <v>56</v>
      </c>
      <c r="D736" s="1">
        <v>2025</v>
      </c>
      <c r="E736" s="1" t="s">
        <v>23</v>
      </c>
      <c r="F736" s="1">
        <v>187018031</v>
      </c>
      <c r="G736" s="1">
        <v>94927186</v>
      </c>
      <c r="H736" s="1">
        <v>92090845</v>
      </c>
      <c r="I736" s="1">
        <v>14180607</v>
      </c>
      <c r="J736" s="1">
        <v>426398</v>
      </c>
      <c r="K736" s="1">
        <v>7.58</v>
      </c>
      <c r="L736" s="1">
        <v>25.81</v>
      </c>
      <c r="M736" s="1">
        <v>21.56</v>
      </c>
      <c r="N736" s="1">
        <v>6.22</v>
      </c>
      <c r="O736" s="1">
        <v>35.299999999999997</v>
      </c>
      <c r="P736" s="1">
        <v>17.27</v>
      </c>
      <c r="Q736" s="1">
        <v>7177.75</v>
      </c>
      <c r="R736" s="1">
        <v>71</v>
      </c>
      <c r="S736" s="1">
        <v>72.2</v>
      </c>
    </row>
    <row r="737" spans="1:19" ht="15">
      <c r="A737" s="1">
        <v>41</v>
      </c>
      <c r="B737" s="1" t="s">
        <v>66</v>
      </c>
      <c r="C737" s="1" t="s">
        <v>56</v>
      </c>
      <c r="D737" s="1">
        <v>2026</v>
      </c>
      <c r="E737" s="1" t="s">
        <v>21</v>
      </c>
      <c r="F737" s="1">
        <v>130473713</v>
      </c>
      <c r="G737" s="1">
        <v>62710208</v>
      </c>
      <c r="H737" s="1">
        <v>67763505</v>
      </c>
      <c r="I737" s="1">
        <v>12611767</v>
      </c>
      <c r="J737" s="1">
        <v>495033</v>
      </c>
      <c r="K737" s="1">
        <v>9.67</v>
      </c>
      <c r="L737" s="1">
        <v>21.46</v>
      </c>
      <c r="M737" s="1">
        <v>31.23</v>
      </c>
      <c r="N737" s="1">
        <v>8.4499999999999993</v>
      </c>
      <c r="O737" s="1">
        <v>29.1</v>
      </c>
      <c r="P737" s="1">
        <v>30.69</v>
      </c>
      <c r="Q737" s="1">
        <v>8370</v>
      </c>
      <c r="R737" s="1">
        <v>75</v>
      </c>
      <c r="S737" s="1">
        <v>76.8</v>
      </c>
    </row>
    <row r="738" spans="1:19" ht="15">
      <c r="A738" s="1">
        <v>41</v>
      </c>
      <c r="B738" s="1" t="s">
        <v>66</v>
      </c>
      <c r="C738" s="1" t="s">
        <v>56</v>
      </c>
      <c r="D738" s="1">
        <v>2026</v>
      </c>
      <c r="E738" s="1" t="s">
        <v>22</v>
      </c>
      <c r="F738" s="1">
        <v>76867645</v>
      </c>
      <c r="G738" s="1">
        <v>38016293</v>
      </c>
      <c r="H738" s="1">
        <v>38851352</v>
      </c>
      <c r="I738" s="1">
        <v>5080039</v>
      </c>
      <c r="J738" s="1">
        <v>313362</v>
      </c>
      <c r="K738" s="1">
        <v>6.61</v>
      </c>
      <c r="L738" s="1">
        <v>13.87</v>
      </c>
      <c r="M738" s="1">
        <v>28.33</v>
      </c>
      <c r="N738" s="1">
        <v>5.59</v>
      </c>
      <c r="O738" s="1">
        <v>20.18</v>
      </c>
      <c r="P738" s="1">
        <v>19.04</v>
      </c>
      <c r="Q738" s="1">
        <v>8157.87</v>
      </c>
      <c r="R738" s="1">
        <v>52</v>
      </c>
      <c r="S738" s="1">
        <v>69.099999999999994</v>
      </c>
    </row>
    <row r="739" spans="1:19" ht="15">
      <c r="A739" s="1">
        <v>41</v>
      </c>
      <c r="B739" s="1" t="s">
        <v>66</v>
      </c>
      <c r="C739" s="1" t="s">
        <v>56</v>
      </c>
      <c r="D739" s="1">
        <v>2026</v>
      </c>
      <c r="E739" s="1" t="s">
        <v>23</v>
      </c>
      <c r="F739" s="1">
        <v>106310059</v>
      </c>
      <c r="G739" s="1">
        <v>51527098</v>
      </c>
      <c r="H739" s="1">
        <v>54782961</v>
      </c>
      <c r="I739" s="1">
        <v>10329161</v>
      </c>
      <c r="J739" s="1">
        <v>423100</v>
      </c>
      <c r="K739" s="1">
        <v>9.7200000000000006</v>
      </c>
      <c r="L739" s="1">
        <v>19.29</v>
      </c>
      <c r="M739" s="1">
        <v>15.27</v>
      </c>
      <c r="N739" s="1">
        <v>9.64</v>
      </c>
      <c r="O739" s="1">
        <v>27.36</v>
      </c>
      <c r="P739" s="1">
        <v>23.62</v>
      </c>
      <c r="Q739" s="1">
        <v>5788.34</v>
      </c>
      <c r="R739" s="1">
        <v>58</v>
      </c>
      <c r="S739" s="1">
        <v>64.8</v>
      </c>
    </row>
    <row r="740" spans="1:19" ht="15">
      <c r="A740" s="1">
        <v>42</v>
      </c>
      <c r="B740" s="1" t="s">
        <v>67</v>
      </c>
      <c r="C740" s="1" t="s">
        <v>56</v>
      </c>
      <c r="D740" s="1">
        <v>2021</v>
      </c>
      <c r="E740" s="1" t="s">
        <v>21</v>
      </c>
      <c r="F740" s="1">
        <v>23115206</v>
      </c>
      <c r="G740" s="1">
        <v>11194109</v>
      </c>
      <c r="H740" s="1">
        <v>11921097</v>
      </c>
      <c r="I740" s="1">
        <v>1383728</v>
      </c>
      <c r="J740" s="1">
        <v>77282</v>
      </c>
      <c r="K740" s="1">
        <v>5.99</v>
      </c>
      <c r="L740" s="1">
        <v>15.8</v>
      </c>
      <c r="M740" s="1">
        <v>34.32</v>
      </c>
      <c r="N740" s="1">
        <v>6.75</v>
      </c>
      <c r="O740" s="1">
        <v>31.28</v>
      </c>
      <c r="P740" s="1">
        <v>38.270000000000003</v>
      </c>
      <c r="Q740" s="1">
        <v>8153.97</v>
      </c>
      <c r="R740" s="1">
        <v>76</v>
      </c>
      <c r="S740" s="1">
        <v>82.9</v>
      </c>
    </row>
    <row r="741" spans="1:19" ht="15">
      <c r="A741" s="1">
        <v>42</v>
      </c>
      <c r="B741" s="1" t="s">
        <v>67</v>
      </c>
      <c r="C741" s="1" t="s">
        <v>56</v>
      </c>
      <c r="D741" s="1">
        <v>2021</v>
      </c>
      <c r="E741" s="1" t="s">
        <v>22</v>
      </c>
      <c r="F741" s="1">
        <v>43570443</v>
      </c>
      <c r="G741" s="1">
        <v>21176892</v>
      </c>
      <c r="H741" s="1">
        <v>22393551</v>
      </c>
      <c r="I741" s="1">
        <v>3355254</v>
      </c>
      <c r="J741" s="1">
        <v>250643</v>
      </c>
      <c r="K741" s="1">
        <v>7.7</v>
      </c>
      <c r="L741" s="1">
        <v>20.420000000000002</v>
      </c>
      <c r="M741" s="1">
        <v>33.96</v>
      </c>
      <c r="N741" s="1">
        <v>12.84</v>
      </c>
      <c r="O741" s="1">
        <v>32.57</v>
      </c>
      <c r="P741" s="1">
        <v>29.86</v>
      </c>
      <c r="Q741" s="1">
        <v>10224.23</v>
      </c>
      <c r="R741" s="1">
        <v>63</v>
      </c>
      <c r="S741" s="1">
        <v>66.599999999999994</v>
      </c>
    </row>
    <row r="742" spans="1:19" ht="15">
      <c r="A742" s="1">
        <v>42</v>
      </c>
      <c r="B742" s="1" t="s">
        <v>67</v>
      </c>
      <c r="C742" s="1" t="s">
        <v>56</v>
      </c>
      <c r="D742" s="1">
        <v>2021</v>
      </c>
      <c r="E742" s="1" t="s">
        <v>23</v>
      </c>
      <c r="F742" s="1">
        <v>55382424</v>
      </c>
      <c r="G742" s="1">
        <v>27030239</v>
      </c>
      <c r="H742" s="1">
        <v>28352185</v>
      </c>
      <c r="I742" s="1">
        <v>4887881</v>
      </c>
      <c r="J742" s="1">
        <v>181721</v>
      </c>
      <c r="K742" s="1">
        <v>8.83</v>
      </c>
      <c r="L742" s="1">
        <v>28.82</v>
      </c>
      <c r="M742" s="1">
        <v>30.36</v>
      </c>
      <c r="N742" s="1">
        <v>7.37</v>
      </c>
      <c r="O742" s="1">
        <v>28.81</v>
      </c>
      <c r="P742" s="1">
        <v>34.049999999999997</v>
      </c>
      <c r="Q742" s="1">
        <v>2325.59</v>
      </c>
      <c r="R742" s="1">
        <v>45</v>
      </c>
      <c r="S742" s="1">
        <v>69.400000000000006</v>
      </c>
    </row>
    <row r="743" spans="1:19" ht="15">
      <c r="A743" s="1">
        <v>42</v>
      </c>
      <c r="B743" s="1" t="s">
        <v>67</v>
      </c>
      <c r="C743" s="1" t="s">
        <v>56</v>
      </c>
      <c r="D743" s="1">
        <v>2022</v>
      </c>
      <c r="E743" s="1" t="s">
        <v>21</v>
      </c>
      <c r="F743" s="1">
        <v>50599223</v>
      </c>
      <c r="G743" s="1">
        <v>26013593</v>
      </c>
      <c r="H743" s="1">
        <v>24585630</v>
      </c>
      <c r="I743" s="1">
        <v>3222280</v>
      </c>
      <c r="J743" s="1">
        <v>214800</v>
      </c>
      <c r="K743" s="1">
        <v>6.37</v>
      </c>
      <c r="L743" s="1">
        <v>25.28</v>
      </c>
      <c r="M743" s="1">
        <v>29.05</v>
      </c>
      <c r="N743" s="1">
        <v>5.44</v>
      </c>
      <c r="O743" s="1">
        <v>29.8</v>
      </c>
      <c r="P743" s="1">
        <v>22.94</v>
      </c>
      <c r="Q743" s="1">
        <v>3633.19</v>
      </c>
      <c r="R743" s="1">
        <v>65</v>
      </c>
      <c r="S743" s="1">
        <v>73.5</v>
      </c>
    </row>
    <row r="744" spans="1:19" ht="15">
      <c r="A744" s="1">
        <v>42</v>
      </c>
      <c r="B744" s="1" t="s">
        <v>67</v>
      </c>
      <c r="C744" s="1" t="s">
        <v>56</v>
      </c>
      <c r="D744" s="1">
        <v>2022</v>
      </c>
      <c r="E744" s="1" t="s">
        <v>22</v>
      </c>
      <c r="F744" s="1">
        <v>162746747</v>
      </c>
      <c r="G744" s="1">
        <v>79494148</v>
      </c>
      <c r="H744" s="1">
        <v>83252599</v>
      </c>
      <c r="I744" s="1">
        <v>13977474</v>
      </c>
      <c r="J744" s="1">
        <v>923282</v>
      </c>
      <c r="K744" s="1">
        <v>8.59</v>
      </c>
      <c r="L744" s="1">
        <v>28.71</v>
      </c>
      <c r="M744" s="1">
        <v>34.58</v>
      </c>
      <c r="N744" s="1">
        <v>10</v>
      </c>
      <c r="O744" s="1">
        <v>38.07</v>
      </c>
      <c r="P744" s="1">
        <v>35.409999999999997</v>
      </c>
      <c r="Q744" s="1">
        <v>9640.19</v>
      </c>
      <c r="R744" s="1">
        <v>61</v>
      </c>
      <c r="S744" s="1">
        <v>71.599999999999994</v>
      </c>
    </row>
    <row r="745" spans="1:19" ht="15">
      <c r="A745" s="1">
        <v>42</v>
      </c>
      <c r="B745" s="1" t="s">
        <v>67</v>
      </c>
      <c r="C745" s="1" t="s">
        <v>56</v>
      </c>
      <c r="D745" s="1">
        <v>2022</v>
      </c>
      <c r="E745" s="1" t="s">
        <v>23</v>
      </c>
      <c r="F745" s="1">
        <v>26540281</v>
      </c>
      <c r="G745" s="1">
        <v>13327899</v>
      </c>
      <c r="H745" s="1">
        <v>13212382</v>
      </c>
      <c r="I745" s="1">
        <v>2395542</v>
      </c>
      <c r="J745" s="1">
        <v>112233</v>
      </c>
      <c r="K745" s="1">
        <v>9.0299999999999994</v>
      </c>
      <c r="L745" s="1">
        <v>15.73</v>
      </c>
      <c r="M745" s="1">
        <v>15.24</v>
      </c>
      <c r="N745" s="1">
        <v>11.85</v>
      </c>
      <c r="O745" s="1">
        <v>30.98</v>
      </c>
      <c r="P745" s="1">
        <v>35.04</v>
      </c>
      <c r="Q745" s="1">
        <v>1240.52</v>
      </c>
      <c r="R745" s="1">
        <v>62</v>
      </c>
      <c r="S745" s="1">
        <v>73.5</v>
      </c>
    </row>
    <row r="746" spans="1:19" ht="15">
      <c r="A746" s="1">
        <v>42</v>
      </c>
      <c r="B746" s="1" t="s">
        <v>67</v>
      </c>
      <c r="C746" s="1" t="s">
        <v>56</v>
      </c>
      <c r="D746" s="1">
        <v>2023</v>
      </c>
      <c r="E746" s="1" t="s">
        <v>21</v>
      </c>
      <c r="F746" s="1">
        <v>190181832</v>
      </c>
      <c r="G746" s="1">
        <v>92427288</v>
      </c>
      <c r="H746" s="1">
        <v>97754544</v>
      </c>
      <c r="I746" s="1">
        <v>18493589</v>
      </c>
      <c r="J746" s="1">
        <v>1455442</v>
      </c>
      <c r="K746" s="1">
        <v>9.7200000000000006</v>
      </c>
      <c r="L746" s="1">
        <v>23.91</v>
      </c>
      <c r="M746" s="1">
        <v>11.66</v>
      </c>
      <c r="N746" s="1">
        <v>12.99</v>
      </c>
      <c r="O746" s="1">
        <v>35.89</v>
      </c>
      <c r="P746" s="1">
        <v>25.25</v>
      </c>
      <c r="Q746" s="1">
        <v>7898.04</v>
      </c>
      <c r="R746" s="1">
        <v>41</v>
      </c>
      <c r="S746" s="1">
        <v>73.7</v>
      </c>
    </row>
    <row r="747" spans="1:19" ht="15">
      <c r="A747" s="1">
        <v>42</v>
      </c>
      <c r="B747" s="1" t="s">
        <v>67</v>
      </c>
      <c r="C747" s="1" t="s">
        <v>56</v>
      </c>
      <c r="D747" s="1">
        <v>2023</v>
      </c>
      <c r="E747" s="1" t="s">
        <v>22</v>
      </c>
      <c r="F747" s="1">
        <v>50616880</v>
      </c>
      <c r="G747" s="1">
        <v>26234542</v>
      </c>
      <c r="H747" s="1">
        <v>24382338</v>
      </c>
      <c r="I747" s="1">
        <v>4060244</v>
      </c>
      <c r="J747" s="1">
        <v>260539</v>
      </c>
      <c r="K747" s="1">
        <v>8.02</v>
      </c>
      <c r="L747" s="1">
        <v>12.48</v>
      </c>
      <c r="M747" s="1">
        <v>27.54</v>
      </c>
      <c r="N747" s="1">
        <v>9.18</v>
      </c>
      <c r="O747" s="1">
        <v>34.06</v>
      </c>
      <c r="P747" s="1">
        <v>26.95</v>
      </c>
      <c r="Q747" s="1">
        <v>10244.450000000001</v>
      </c>
      <c r="R747" s="1">
        <v>40</v>
      </c>
      <c r="S747" s="1">
        <v>70.900000000000006</v>
      </c>
    </row>
    <row r="748" spans="1:19" ht="15">
      <c r="A748" s="1">
        <v>42</v>
      </c>
      <c r="B748" s="1" t="s">
        <v>67</v>
      </c>
      <c r="C748" s="1" t="s">
        <v>56</v>
      </c>
      <c r="D748" s="1">
        <v>2023</v>
      </c>
      <c r="E748" s="1" t="s">
        <v>23</v>
      </c>
      <c r="F748" s="1">
        <v>188910427</v>
      </c>
      <c r="G748" s="1">
        <v>96973463</v>
      </c>
      <c r="H748" s="1">
        <v>91936964</v>
      </c>
      <c r="I748" s="1">
        <v>13585965</v>
      </c>
      <c r="J748" s="1">
        <v>1036285</v>
      </c>
      <c r="K748" s="1">
        <v>7.19</v>
      </c>
      <c r="L748" s="1">
        <v>14.57</v>
      </c>
      <c r="M748" s="1">
        <v>12.23</v>
      </c>
      <c r="N748" s="1">
        <v>13.9</v>
      </c>
      <c r="O748" s="1">
        <v>29.15</v>
      </c>
      <c r="P748" s="1">
        <v>26.71</v>
      </c>
      <c r="Q748" s="1">
        <v>7683.55</v>
      </c>
      <c r="R748" s="1">
        <v>44</v>
      </c>
      <c r="S748" s="1">
        <v>76.900000000000006</v>
      </c>
    </row>
    <row r="749" spans="1:19" ht="15">
      <c r="A749" s="1">
        <v>42</v>
      </c>
      <c r="B749" s="1" t="s">
        <v>67</v>
      </c>
      <c r="C749" s="1" t="s">
        <v>56</v>
      </c>
      <c r="D749" s="1">
        <v>2024</v>
      </c>
      <c r="E749" s="1" t="s">
        <v>21</v>
      </c>
      <c r="F749" s="1">
        <v>2101256</v>
      </c>
      <c r="G749" s="1">
        <v>1085602</v>
      </c>
      <c r="H749" s="1">
        <v>1015654</v>
      </c>
      <c r="I749" s="1">
        <v>202241</v>
      </c>
      <c r="J749" s="1">
        <v>13943</v>
      </c>
      <c r="K749" s="1">
        <v>9.6199999999999992</v>
      </c>
      <c r="L749" s="1">
        <v>12.79</v>
      </c>
      <c r="M749" s="1">
        <v>14.68</v>
      </c>
      <c r="N749" s="1">
        <v>13.88</v>
      </c>
      <c r="O749" s="1">
        <v>36.93</v>
      </c>
      <c r="P749" s="1">
        <v>18.420000000000002</v>
      </c>
      <c r="Q749" s="1">
        <v>5739.17</v>
      </c>
      <c r="R749" s="1">
        <v>74</v>
      </c>
      <c r="S749" s="1">
        <v>67.900000000000006</v>
      </c>
    </row>
    <row r="750" spans="1:19" ht="15">
      <c r="A750" s="1">
        <v>42</v>
      </c>
      <c r="B750" s="1" t="s">
        <v>67</v>
      </c>
      <c r="C750" s="1" t="s">
        <v>56</v>
      </c>
      <c r="D750" s="1">
        <v>2024</v>
      </c>
      <c r="E750" s="1" t="s">
        <v>22</v>
      </c>
      <c r="F750" s="1">
        <v>62320763</v>
      </c>
      <c r="G750" s="1">
        <v>31821084</v>
      </c>
      <c r="H750" s="1">
        <v>30499679</v>
      </c>
      <c r="I750" s="1">
        <v>3341526</v>
      </c>
      <c r="J750" s="1">
        <v>263090</v>
      </c>
      <c r="K750" s="1">
        <v>5.36</v>
      </c>
      <c r="L750" s="1">
        <v>18.75</v>
      </c>
      <c r="M750" s="1">
        <v>20.77</v>
      </c>
      <c r="N750" s="1">
        <v>11.59</v>
      </c>
      <c r="O750" s="1">
        <v>39</v>
      </c>
      <c r="P750" s="1">
        <v>27.11</v>
      </c>
      <c r="Q750" s="1">
        <v>8821.08</v>
      </c>
      <c r="R750" s="1">
        <v>75</v>
      </c>
      <c r="S750" s="1">
        <v>80.8</v>
      </c>
    </row>
    <row r="751" spans="1:19" ht="15">
      <c r="A751" s="1">
        <v>42</v>
      </c>
      <c r="B751" s="1" t="s">
        <v>67</v>
      </c>
      <c r="C751" s="1" t="s">
        <v>56</v>
      </c>
      <c r="D751" s="1">
        <v>2024</v>
      </c>
      <c r="E751" s="1" t="s">
        <v>23</v>
      </c>
      <c r="F751" s="1">
        <v>133059481</v>
      </c>
      <c r="G751" s="1">
        <v>68139645</v>
      </c>
      <c r="H751" s="1">
        <v>64919836</v>
      </c>
      <c r="I751" s="1">
        <v>10232256</v>
      </c>
      <c r="J751" s="1">
        <v>629575</v>
      </c>
      <c r="K751" s="1">
        <v>7.69</v>
      </c>
      <c r="L751" s="1">
        <v>25.23</v>
      </c>
      <c r="M751" s="1">
        <v>34.35</v>
      </c>
      <c r="N751" s="1">
        <v>11.16</v>
      </c>
      <c r="O751" s="1">
        <v>21.09</v>
      </c>
      <c r="P751" s="1">
        <v>19.739999999999998</v>
      </c>
      <c r="Q751" s="1">
        <v>1884.29</v>
      </c>
      <c r="R751" s="1">
        <v>48</v>
      </c>
      <c r="S751" s="1">
        <v>81.099999999999994</v>
      </c>
    </row>
    <row r="752" spans="1:19" ht="15">
      <c r="A752" s="1">
        <v>42</v>
      </c>
      <c r="B752" s="1" t="s">
        <v>67</v>
      </c>
      <c r="C752" s="1" t="s">
        <v>56</v>
      </c>
      <c r="D752" s="1">
        <v>2025</v>
      </c>
      <c r="E752" s="1" t="s">
        <v>21</v>
      </c>
      <c r="F752" s="1">
        <v>175449077</v>
      </c>
      <c r="G752" s="1">
        <v>86086123</v>
      </c>
      <c r="H752" s="1">
        <v>89362954</v>
      </c>
      <c r="I752" s="1">
        <v>9876534</v>
      </c>
      <c r="J752" s="1">
        <v>739173</v>
      </c>
      <c r="K752" s="1">
        <v>5.63</v>
      </c>
      <c r="L752" s="1">
        <v>21.32</v>
      </c>
      <c r="M752" s="1">
        <v>32.979999999999997</v>
      </c>
      <c r="N752" s="1">
        <v>10.74</v>
      </c>
      <c r="O752" s="1">
        <v>32.75</v>
      </c>
      <c r="P752" s="1">
        <v>31.52</v>
      </c>
      <c r="Q752" s="1">
        <v>11432.93</v>
      </c>
      <c r="R752" s="1">
        <v>41</v>
      </c>
      <c r="S752" s="1">
        <v>72.400000000000006</v>
      </c>
    </row>
    <row r="753" spans="1:19" ht="15">
      <c r="A753" s="1">
        <v>42</v>
      </c>
      <c r="B753" s="1" t="s">
        <v>67</v>
      </c>
      <c r="C753" s="1" t="s">
        <v>56</v>
      </c>
      <c r="D753" s="1">
        <v>2025</v>
      </c>
      <c r="E753" s="1" t="s">
        <v>22</v>
      </c>
      <c r="F753" s="1">
        <v>83418011</v>
      </c>
      <c r="G753" s="1">
        <v>41466714</v>
      </c>
      <c r="H753" s="1">
        <v>41951297</v>
      </c>
      <c r="I753" s="1">
        <v>5736133</v>
      </c>
      <c r="J753" s="1">
        <v>366260</v>
      </c>
      <c r="K753" s="1">
        <v>6.88</v>
      </c>
      <c r="L753" s="1">
        <v>12.83</v>
      </c>
      <c r="M753" s="1">
        <v>28.21</v>
      </c>
      <c r="N753" s="1">
        <v>6.34</v>
      </c>
      <c r="O753" s="1">
        <v>31.58</v>
      </c>
      <c r="P753" s="1">
        <v>30.18</v>
      </c>
      <c r="Q753" s="1">
        <v>6323.79</v>
      </c>
      <c r="R753" s="1">
        <v>73</v>
      </c>
      <c r="S753" s="1">
        <v>67</v>
      </c>
    </row>
    <row r="754" spans="1:19" ht="15">
      <c r="A754" s="1">
        <v>42</v>
      </c>
      <c r="B754" s="1" t="s">
        <v>67</v>
      </c>
      <c r="C754" s="1" t="s">
        <v>56</v>
      </c>
      <c r="D754" s="1">
        <v>2025</v>
      </c>
      <c r="E754" s="1" t="s">
        <v>23</v>
      </c>
      <c r="F754" s="1">
        <v>9688641</v>
      </c>
      <c r="G754" s="1">
        <v>4707620</v>
      </c>
      <c r="H754" s="1">
        <v>4981021</v>
      </c>
      <c r="I754" s="1">
        <v>603993</v>
      </c>
      <c r="J754" s="1">
        <v>24561</v>
      </c>
      <c r="K754" s="1">
        <v>6.23</v>
      </c>
      <c r="L754" s="1">
        <v>14.95</v>
      </c>
      <c r="M754" s="1">
        <v>30.78</v>
      </c>
      <c r="N754" s="1">
        <v>7.81</v>
      </c>
      <c r="O754" s="1">
        <v>37.04</v>
      </c>
      <c r="P754" s="1">
        <v>18.010000000000002</v>
      </c>
      <c r="Q754" s="1">
        <v>2240.3200000000002</v>
      </c>
      <c r="R754" s="1">
        <v>70</v>
      </c>
      <c r="S754" s="1">
        <v>64</v>
      </c>
    </row>
    <row r="755" spans="1:19" ht="15">
      <c r="A755" s="1">
        <v>42</v>
      </c>
      <c r="B755" s="1" t="s">
        <v>67</v>
      </c>
      <c r="C755" s="1" t="s">
        <v>56</v>
      </c>
      <c r="D755" s="1">
        <v>2026</v>
      </c>
      <c r="E755" s="1" t="s">
        <v>21</v>
      </c>
      <c r="F755" s="1">
        <v>142097874</v>
      </c>
      <c r="G755" s="1">
        <v>72784824</v>
      </c>
      <c r="H755" s="1">
        <v>69313050</v>
      </c>
      <c r="I755" s="1">
        <v>7565894</v>
      </c>
      <c r="J755" s="1">
        <v>580895</v>
      </c>
      <c r="K755" s="1">
        <v>5.32</v>
      </c>
      <c r="L755" s="1">
        <v>16.64</v>
      </c>
      <c r="M755" s="1">
        <v>26.44</v>
      </c>
      <c r="N755" s="1">
        <v>8.3699999999999992</v>
      </c>
      <c r="O755" s="1">
        <v>31.65</v>
      </c>
      <c r="P755" s="1">
        <v>33.54</v>
      </c>
      <c r="Q755" s="1">
        <v>1896.65</v>
      </c>
      <c r="R755" s="1">
        <v>53</v>
      </c>
      <c r="S755" s="1">
        <v>71.099999999999994</v>
      </c>
    </row>
    <row r="756" spans="1:19" ht="15">
      <c r="A756" s="1">
        <v>42</v>
      </c>
      <c r="B756" s="1" t="s">
        <v>67</v>
      </c>
      <c r="C756" s="1" t="s">
        <v>56</v>
      </c>
      <c r="D756" s="1">
        <v>2026</v>
      </c>
      <c r="E756" s="1" t="s">
        <v>22</v>
      </c>
      <c r="F756" s="1">
        <v>156882219</v>
      </c>
      <c r="G756" s="1">
        <v>78046006</v>
      </c>
      <c r="H756" s="1">
        <v>78836213</v>
      </c>
      <c r="I756" s="1">
        <v>14657924</v>
      </c>
      <c r="J756" s="1">
        <v>1119502</v>
      </c>
      <c r="K756" s="1">
        <v>9.34</v>
      </c>
      <c r="L756" s="1">
        <v>13.35</v>
      </c>
      <c r="M756" s="1">
        <v>28.11</v>
      </c>
      <c r="N756" s="1">
        <v>14.72</v>
      </c>
      <c r="O756" s="1">
        <v>23.92</v>
      </c>
      <c r="P756" s="1">
        <v>37.86</v>
      </c>
      <c r="Q756" s="1">
        <v>9949.6</v>
      </c>
      <c r="R756" s="1">
        <v>78</v>
      </c>
      <c r="S756" s="1">
        <v>75.099999999999994</v>
      </c>
    </row>
    <row r="757" spans="1:19" ht="15">
      <c r="A757" s="1">
        <v>42</v>
      </c>
      <c r="B757" s="1" t="s">
        <v>67</v>
      </c>
      <c r="C757" s="1" t="s">
        <v>56</v>
      </c>
      <c r="D757" s="1">
        <v>2026</v>
      </c>
      <c r="E757" s="1" t="s">
        <v>23</v>
      </c>
      <c r="F757" s="1">
        <v>180932765</v>
      </c>
      <c r="G757" s="1">
        <v>87920435</v>
      </c>
      <c r="H757" s="1">
        <v>93012330</v>
      </c>
      <c r="I757" s="1">
        <v>12723974</v>
      </c>
      <c r="J757" s="1">
        <v>671265</v>
      </c>
      <c r="K757" s="1">
        <v>7.03</v>
      </c>
      <c r="L757" s="1">
        <v>19.899999999999999</v>
      </c>
      <c r="M757" s="1">
        <v>10.6</v>
      </c>
      <c r="N757" s="1">
        <v>5.58</v>
      </c>
      <c r="O757" s="1">
        <v>38.51</v>
      </c>
      <c r="P757" s="1">
        <v>15.4</v>
      </c>
      <c r="Q757" s="1">
        <v>2403.85</v>
      </c>
      <c r="R757" s="1">
        <v>55</v>
      </c>
      <c r="S757" s="1">
        <v>78.099999999999994</v>
      </c>
    </row>
    <row r="758" spans="1:19" ht="15">
      <c r="A758" s="1">
        <v>43</v>
      </c>
      <c r="B758" s="1" t="s">
        <v>68</v>
      </c>
      <c r="C758" s="1" t="s">
        <v>56</v>
      </c>
      <c r="D758" s="1">
        <v>2021</v>
      </c>
      <c r="E758" s="1" t="s">
        <v>21</v>
      </c>
      <c r="F758" s="1">
        <v>164105746</v>
      </c>
      <c r="G758" s="1">
        <v>81591595</v>
      </c>
      <c r="H758" s="1">
        <v>82514151</v>
      </c>
      <c r="I758" s="1">
        <v>8547274</v>
      </c>
      <c r="J758" s="1">
        <v>418507</v>
      </c>
      <c r="K758" s="1">
        <v>5.21</v>
      </c>
      <c r="L758" s="1">
        <v>21.74</v>
      </c>
      <c r="M758" s="1">
        <v>11.98</v>
      </c>
      <c r="N758" s="1">
        <v>13.03</v>
      </c>
      <c r="O758" s="1">
        <v>32.33</v>
      </c>
      <c r="P758" s="1">
        <v>33.68</v>
      </c>
      <c r="Q758" s="1">
        <v>11716.11</v>
      </c>
      <c r="R758" s="1">
        <v>63</v>
      </c>
      <c r="S758" s="1">
        <v>73.900000000000006</v>
      </c>
    </row>
    <row r="759" spans="1:19" ht="15">
      <c r="A759" s="1">
        <v>43</v>
      </c>
      <c r="B759" s="1" t="s">
        <v>68</v>
      </c>
      <c r="C759" s="1" t="s">
        <v>56</v>
      </c>
      <c r="D759" s="1">
        <v>2021</v>
      </c>
      <c r="E759" s="1" t="s">
        <v>22</v>
      </c>
      <c r="F759" s="1">
        <v>82072193</v>
      </c>
      <c r="G759" s="1">
        <v>41981973</v>
      </c>
      <c r="H759" s="1">
        <v>40090220</v>
      </c>
      <c r="I759" s="1">
        <v>4655299</v>
      </c>
      <c r="J759" s="1">
        <v>350361</v>
      </c>
      <c r="K759" s="1">
        <v>5.67</v>
      </c>
      <c r="L759" s="1">
        <v>22.88</v>
      </c>
      <c r="M759" s="1">
        <v>26.11</v>
      </c>
      <c r="N759" s="1">
        <v>8.23</v>
      </c>
      <c r="O759" s="1">
        <v>22.08</v>
      </c>
      <c r="P759" s="1">
        <v>23.59</v>
      </c>
      <c r="Q759" s="1">
        <v>6791.01</v>
      </c>
      <c r="R759" s="1">
        <v>60</v>
      </c>
      <c r="S759" s="1">
        <v>74.8</v>
      </c>
    </row>
    <row r="760" spans="1:19" ht="15">
      <c r="A760" s="1">
        <v>43</v>
      </c>
      <c r="B760" s="1" t="s">
        <v>68</v>
      </c>
      <c r="C760" s="1" t="s">
        <v>56</v>
      </c>
      <c r="D760" s="1">
        <v>2021</v>
      </c>
      <c r="E760" s="1" t="s">
        <v>23</v>
      </c>
      <c r="F760" s="1">
        <v>164538329</v>
      </c>
      <c r="G760" s="1">
        <v>80506970</v>
      </c>
      <c r="H760" s="1">
        <v>84031359</v>
      </c>
      <c r="I760" s="1">
        <v>9627962</v>
      </c>
      <c r="J760" s="1">
        <v>398518</v>
      </c>
      <c r="K760" s="1">
        <v>5.85</v>
      </c>
      <c r="L760" s="1">
        <v>21.34</v>
      </c>
      <c r="M760" s="1">
        <v>13.74</v>
      </c>
      <c r="N760" s="1">
        <v>9.3800000000000008</v>
      </c>
      <c r="O760" s="1">
        <v>36.47</v>
      </c>
      <c r="P760" s="1">
        <v>19.420000000000002</v>
      </c>
      <c r="Q760" s="1">
        <v>5400.82</v>
      </c>
      <c r="R760" s="1">
        <v>45</v>
      </c>
      <c r="S760" s="1">
        <v>78.7</v>
      </c>
    </row>
    <row r="761" spans="1:19" ht="15">
      <c r="A761" s="1">
        <v>43</v>
      </c>
      <c r="B761" s="1" t="s">
        <v>68</v>
      </c>
      <c r="C761" s="1" t="s">
        <v>56</v>
      </c>
      <c r="D761" s="1">
        <v>2022</v>
      </c>
      <c r="E761" s="1" t="s">
        <v>21</v>
      </c>
      <c r="F761" s="1">
        <v>69066691</v>
      </c>
      <c r="G761" s="1">
        <v>34335544</v>
      </c>
      <c r="H761" s="1">
        <v>34731147</v>
      </c>
      <c r="I761" s="1">
        <v>4509234</v>
      </c>
      <c r="J761" s="1">
        <v>171234</v>
      </c>
      <c r="K761" s="1">
        <v>6.53</v>
      </c>
      <c r="L761" s="1">
        <v>25.48</v>
      </c>
      <c r="M761" s="1">
        <v>22.45</v>
      </c>
      <c r="N761" s="1">
        <v>8.6199999999999992</v>
      </c>
      <c r="O761" s="1">
        <v>35.270000000000003</v>
      </c>
      <c r="P761" s="1">
        <v>38.08</v>
      </c>
      <c r="Q761" s="1">
        <v>11327.89</v>
      </c>
      <c r="R761" s="1">
        <v>41</v>
      </c>
      <c r="S761" s="1">
        <v>79</v>
      </c>
    </row>
    <row r="762" spans="1:19" ht="15">
      <c r="A762" s="1">
        <v>43</v>
      </c>
      <c r="B762" s="1" t="s">
        <v>68</v>
      </c>
      <c r="C762" s="1" t="s">
        <v>56</v>
      </c>
      <c r="D762" s="1">
        <v>2022</v>
      </c>
      <c r="E762" s="1" t="s">
        <v>22</v>
      </c>
      <c r="F762" s="1">
        <v>12677415</v>
      </c>
      <c r="G762" s="1">
        <v>6352385</v>
      </c>
      <c r="H762" s="1">
        <v>6325030</v>
      </c>
      <c r="I762" s="1">
        <v>923333</v>
      </c>
      <c r="J762" s="1">
        <v>60281</v>
      </c>
      <c r="K762" s="1">
        <v>7.28</v>
      </c>
      <c r="L762" s="1">
        <v>25.37</v>
      </c>
      <c r="M762" s="1">
        <v>29.48</v>
      </c>
      <c r="N762" s="1">
        <v>10.199999999999999</v>
      </c>
      <c r="O762" s="1">
        <v>28.93</v>
      </c>
      <c r="P762" s="1">
        <v>17.989999999999998</v>
      </c>
      <c r="Q762" s="1">
        <v>6861.84</v>
      </c>
      <c r="R762" s="1">
        <v>73</v>
      </c>
      <c r="S762" s="1">
        <v>77.400000000000006</v>
      </c>
    </row>
    <row r="763" spans="1:19" ht="15">
      <c r="A763" s="1">
        <v>43</v>
      </c>
      <c r="B763" s="1" t="s">
        <v>68</v>
      </c>
      <c r="C763" s="1" t="s">
        <v>56</v>
      </c>
      <c r="D763" s="1">
        <v>2022</v>
      </c>
      <c r="E763" s="1" t="s">
        <v>23</v>
      </c>
      <c r="F763" s="1">
        <v>82737975</v>
      </c>
      <c r="G763" s="1">
        <v>40868124</v>
      </c>
      <c r="H763" s="1">
        <v>41869851</v>
      </c>
      <c r="I763" s="1">
        <v>7592606</v>
      </c>
      <c r="J763" s="1">
        <v>603331</v>
      </c>
      <c r="K763" s="1">
        <v>9.18</v>
      </c>
      <c r="L763" s="1">
        <v>18.22</v>
      </c>
      <c r="M763" s="1">
        <v>21.17</v>
      </c>
      <c r="N763" s="1">
        <v>9.18</v>
      </c>
      <c r="O763" s="1">
        <v>22.67</v>
      </c>
      <c r="P763" s="1">
        <v>36.67</v>
      </c>
      <c r="Q763" s="1">
        <v>2414.89</v>
      </c>
      <c r="R763" s="1">
        <v>83</v>
      </c>
      <c r="S763" s="1">
        <v>67.7</v>
      </c>
    </row>
    <row r="764" spans="1:19" ht="15">
      <c r="A764" s="1">
        <v>43</v>
      </c>
      <c r="B764" s="1" t="s">
        <v>68</v>
      </c>
      <c r="C764" s="1" t="s">
        <v>56</v>
      </c>
      <c r="D764" s="1">
        <v>2023</v>
      </c>
      <c r="E764" s="1" t="s">
        <v>21</v>
      </c>
      <c r="F764" s="1">
        <v>88228652</v>
      </c>
      <c r="G764" s="1">
        <v>44913268</v>
      </c>
      <c r="H764" s="1">
        <v>43315384</v>
      </c>
      <c r="I764" s="1">
        <v>6367831</v>
      </c>
      <c r="J764" s="1">
        <v>255429</v>
      </c>
      <c r="K764" s="1">
        <v>7.22</v>
      </c>
      <c r="L764" s="1">
        <v>15.17</v>
      </c>
      <c r="M764" s="1">
        <v>19.899999999999999</v>
      </c>
      <c r="N764" s="1">
        <v>8.5399999999999991</v>
      </c>
      <c r="O764" s="1">
        <v>29.26</v>
      </c>
      <c r="P764" s="1">
        <v>16.28</v>
      </c>
      <c r="Q764" s="1">
        <v>11661.46</v>
      </c>
      <c r="R764" s="1">
        <v>61</v>
      </c>
      <c r="S764" s="1">
        <v>73.400000000000006</v>
      </c>
    </row>
    <row r="765" spans="1:19" ht="15">
      <c r="A765" s="1">
        <v>43</v>
      </c>
      <c r="B765" s="1" t="s">
        <v>68</v>
      </c>
      <c r="C765" s="1" t="s">
        <v>56</v>
      </c>
      <c r="D765" s="1">
        <v>2023</v>
      </c>
      <c r="E765" s="1" t="s">
        <v>22</v>
      </c>
      <c r="F765" s="1">
        <v>7207018</v>
      </c>
      <c r="G765" s="1">
        <v>3693059</v>
      </c>
      <c r="H765" s="1">
        <v>3513959</v>
      </c>
      <c r="I765" s="1">
        <v>567522</v>
      </c>
      <c r="J765" s="1">
        <v>35580</v>
      </c>
      <c r="K765" s="1">
        <v>7.87</v>
      </c>
      <c r="L765" s="1">
        <v>12.81</v>
      </c>
      <c r="M765" s="1">
        <v>25.08</v>
      </c>
      <c r="N765" s="1">
        <v>14.31</v>
      </c>
      <c r="O765" s="1">
        <v>37.6</v>
      </c>
      <c r="P765" s="1">
        <v>26.52</v>
      </c>
      <c r="Q765" s="1">
        <v>10668.21</v>
      </c>
      <c r="R765" s="1">
        <v>59</v>
      </c>
      <c r="S765" s="1">
        <v>78.8</v>
      </c>
    </row>
    <row r="766" spans="1:19" ht="15">
      <c r="A766" s="1">
        <v>43</v>
      </c>
      <c r="B766" s="1" t="s">
        <v>68</v>
      </c>
      <c r="C766" s="1" t="s">
        <v>56</v>
      </c>
      <c r="D766" s="1">
        <v>2023</v>
      </c>
      <c r="E766" s="1" t="s">
        <v>23</v>
      </c>
      <c r="F766" s="1">
        <v>3994034</v>
      </c>
      <c r="G766" s="1">
        <v>1983030</v>
      </c>
      <c r="H766" s="1">
        <v>2011004</v>
      </c>
      <c r="I766" s="1">
        <v>356751</v>
      </c>
      <c r="J766" s="1">
        <v>26907</v>
      </c>
      <c r="K766" s="1">
        <v>8.93</v>
      </c>
      <c r="L766" s="1">
        <v>22.12</v>
      </c>
      <c r="M766" s="1">
        <v>27.22</v>
      </c>
      <c r="N766" s="1">
        <v>6.36</v>
      </c>
      <c r="O766" s="1">
        <v>35.46</v>
      </c>
      <c r="P766" s="1">
        <v>15.21</v>
      </c>
      <c r="Q766" s="1">
        <v>7154.66</v>
      </c>
      <c r="R766" s="1">
        <v>70</v>
      </c>
      <c r="S766" s="1">
        <v>70.7</v>
      </c>
    </row>
    <row r="767" spans="1:19" ht="15">
      <c r="A767" s="1">
        <v>43</v>
      </c>
      <c r="B767" s="1" t="s">
        <v>68</v>
      </c>
      <c r="C767" s="1" t="s">
        <v>56</v>
      </c>
      <c r="D767" s="1">
        <v>2024</v>
      </c>
      <c r="E767" s="1" t="s">
        <v>21</v>
      </c>
      <c r="F767" s="1">
        <v>96816329</v>
      </c>
      <c r="G767" s="1">
        <v>47769079</v>
      </c>
      <c r="H767" s="1">
        <v>49047250</v>
      </c>
      <c r="I767" s="1">
        <v>7080472</v>
      </c>
      <c r="J767" s="1">
        <v>361061</v>
      </c>
      <c r="K767" s="1">
        <v>7.31</v>
      </c>
      <c r="L767" s="1">
        <v>21.52</v>
      </c>
      <c r="M767" s="1">
        <v>18.59</v>
      </c>
      <c r="N767" s="1">
        <v>11.35</v>
      </c>
      <c r="O767" s="1">
        <v>28.22</v>
      </c>
      <c r="P767" s="1">
        <v>32.270000000000003</v>
      </c>
      <c r="Q767" s="1">
        <v>9448.85</v>
      </c>
      <c r="R767" s="1">
        <v>50</v>
      </c>
      <c r="S767" s="1">
        <v>68.099999999999994</v>
      </c>
    </row>
    <row r="768" spans="1:19" ht="15">
      <c r="A768" s="1">
        <v>43</v>
      </c>
      <c r="B768" s="1" t="s">
        <v>68</v>
      </c>
      <c r="C768" s="1" t="s">
        <v>56</v>
      </c>
      <c r="D768" s="1">
        <v>2024</v>
      </c>
      <c r="E768" s="1" t="s">
        <v>22</v>
      </c>
      <c r="F768" s="1">
        <v>66518484</v>
      </c>
      <c r="G768" s="1">
        <v>34551884</v>
      </c>
      <c r="H768" s="1">
        <v>31966600</v>
      </c>
      <c r="I768" s="1">
        <v>5759130</v>
      </c>
      <c r="J768" s="1">
        <v>389185</v>
      </c>
      <c r="K768" s="1">
        <v>8.66</v>
      </c>
      <c r="L768" s="1">
        <v>19.47</v>
      </c>
      <c r="M768" s="1">
        <v>33.409999999999997</v>
      </c>
      <c r="N768" s="1">
        <v>8.9700000000000006</v>
      </c>
      <c r="O768" s="1">
        <v>28.55</v>
      </c>
      <c r="P768" s="1">
        <v>30.57</v>
      </c>
      <c r="Q768" s="1">
        <v>6398.1</v>
      </c>
      <c r="R768" s="1">
        <v>40</v>
      </c>
      <c r="S768" s="1">
        <v>73.099999999999994</v>
      </c>
    </row>
    <row r="769" spans="1:19" ht="15">
      <c r="A769" s="1">
        <v>43</v>
      </c>
      <c r="B769" s="1" t="s">
        <v>68</v>
      </c>
      <c r="C769" s="1" t="s">
        <v>56</v>
      </c>
      <c r="D769" s="1">
        <v>2024</v>
      </c>
      <c r="E769" s="1" t="s">
        <v>23</v>
      </c>
      <c r="F769" s="1">
        <v>152414108</v>
      </c>
      <c r="G769" s="1">
        <v>77384381</v>
      </c>
      <c r="H769" s="1">
        <v>75029727</v>
      </c>
      <c r="I769" s="1">
        <v>14172805</v>
      </c>
      <c r="J769" s="1">
        <v>904870</v>
      </c>
      <c r="K769" s="1">
        <v>9.3000000000000007</v>
      </c>
      <c r="L769" s="1">
        <v>16.100000000000001</v>
      </c>
      <c r="M769" s="1">
        <v>27.66</v>
      </c>
      <c r="N769" s="1">
        <v>9.85</v>
      </c>
      <c r="O769" s="1">
        <v>20.23</v>
      </c>
      <c r="P769" s="1">
        <v>36.979999999999997</v>
      </c>
      <c r="Q769" s="1">
        <v>1136.56</v>
      </c>
      <c r="R769" s="1">
        <v>79</v>
      </c>
      <c r="S769" s="1">
        <v>62.2</v>
      </c>
    </row>
    <row r="770" spans="1:19" ht="15">
      <c r="A770" s="1">
        <v>43</v>
      </c>
      <c r="B770" s="1" t="s">
        <v>68</v>
      </c>
      <c r="C770" s="1" t="s">
        <v>56</v>
      </c>
      <c r="D770" s="1">
        <v>2025</v>
      </c>
      <c r="E770" s="1" t="s">
        <v>21</v>
      </c>
      <c r="F770" s="1">
        <v>157206184</v>
      </c>
      <c r="G770" s="1">
        <v>75700601</v>
      </c>
      <c r="H770" s="1">
        <v>81505583</v>
      </c>
      <c r="I770" s="1">
        <v>12023914</v>
      </c>
      <c r="J770" s="1">
        <v>553254</v>
      </c>
      <c r="K770" s="1">
        <v>7.65</v>
      </c>
      <c r="L770" s="1">
        <v>24.14</v>
      </c>
      <c r="M770" s="1">
        <v>17.579999999999998</v>
      </c>
      <c r="N770" s="1">
        <v>5.79</v>
      </c>
      <c r="O770" s="1">
        <v>33.520000000000003</v>
      </c>
      <c r="P770" s="1">
        <v>27.77</v>
      </c>
      <c r="Q770" s="1">
        <v>4570.96</v>
      </c>
      <c r="R770" s="1">
        <v>63</v>
      </c>
      <c r="S770" s="1">
        <v>75.099999999999994</v>
      </c>
    </row>
    <row r="771" spans="1:19" ht="15">
      <c r="A771" s="1">
        <v>43</v>
      </c>
      <c r="B771" s="1" t="s">
        <v>68</v>
      </c>
      <c r="C771" s="1" t="s">
        <v>56</v>
      </c>
      <c r="D771" s="1">
        <v>2025</v>
      </c>
      <c r="E771" s="1" t="s">
        <v>22</v>
      </c>
      <c r="F771" s="1">
        <v>137534119</v>
      </c>
      <c r="G771" s="1">
        <v>66881727</v>
      </c>
      <c r="H771" s="1">
        <v>70652392</v>
      </c>
      <c r="I771" s="1">
        <v>11357269</v>
      </c>
      <c r="J771" s="1">
        <v>417838</v>
      </c>
      <c r="K771" s="1">
        <v>8.26</v>
      </c>
      <c r="L771" s="1">
        <v>15.58</v>
      </c>
      <c r="M771" s="1">
        <v>21.21</v>
      </c>
      <c r="N771" s="1">
        <v>6.26</v>
      </c>
      <c r="O771" s="1">
        <v>20.149999999999999</v>
      </c>
      <c r="P771" s="1">
        <v>27.47</v>
      </c>
      <c r="Q771" s="1">
        <v>9327.75</v>
      </c>
      <c r="R771" s="1">
        <v>81</v>
      </c>
      <c r="S771" s="1">
        <v>65</v>
      </c>
    </row>
    <row r="772" spans="1:19" ht="15">
      <c r="A772" s="1">
        <v>43</v>
      </c>
      <c r="B772" s="1" t="s">
        <v>68</v>
      </c>
      <c r="C772" s="1" t="s">
        <v>56</v>
      </c>
      <c r="D772" s="1">
        <v>2025</v>
      </c>
      <c r="E772" s="1" t="s">
        <v>23</v>
      </c>
      <c r="F772" s="1">
        <v>104641743</v>
      </c>
      <c r="G772" s="1">
        <v>54228269</v>
      </c>
      <c r="H772" s="1">
        <v>50413474</v>
      </c>
      <c r="I772" s="1">
        <v>5438478</v>
      </c>
      <c r="J772" s="1">
        <v>335749</v>
      </c>
      <c r="K772" s="1">
        <v>5.2</v>
      </c>
      <c r="L772" s="1">
        <v>18.920000000000002</v>
      </c>
      <c r="M772" s="1">
        <v>21.64</v>
      </c>
      <c r="N772" s="1">
        <v>14.41</v>
      </c>
      <c r="O772" s="1">
        <v>33.119999999999997</v>
      </c>
      <c r="P772" s="1">
        <v>25.33</v>
      </c>
      <c r="Q772" s="1">
        <v>8803.98</v>
      </c>
      <c r="R772" s="1">
        <v>49</v>
      </c>
      <c r="S772" s="1">
        <v>69.400000000000006</v>
      </c>
    </row>
    <row r="773" spans="1:19" ht="15">
      <c r="A773" s="1">
        <v>43</v>
      </c>
      <c r="B773" s="1" t="s">
        <v>68</v>
      </c>
      <c r="C773" s="1" t="s">
        <v>56</v>
      </c>
      <c r="D773" s="1">
        <v>2026</v>
      </c>
      <c r="E773" s="1" t="s">
        <v>21</v>
      </c>
      <c r="F773" s="1">
        <v>63278399</v>
      </c>
      <c r="G773" s="1">
        <v>30734624</v>
      </c>
      <c r="H773" s="1">
        <v>32543775</v>
      </c>
      <c r="I773" s="1">
        <v>5339292</v>
      </c>
      <c r="J773" s="1">
        <v>350916</v>
      </c>
      <c r="K773" s="1">
        <v>8.44</v>
      </c>
      <c r="L773" s="1">
        <v>14.4</v>
      </c>
      <c r="M773" s="1">
        <v>11.08</v>
      </c>
      <c r="N773" s="1">
        <v>12.96</v>
      </c>
      <c r="O773" s="1">
        <v>24.98</v>
      </c>
      <c r="P773" s="1">
        <v>24.82</v>
      </c>
      <c r="Q773" s="1">
        <v>11697.58</v>
      </c>
      <c r="R773" s="1">
        <v>81</v>
      </c>
      <c r="S773" s="1">
        <v>60.4</v>
      </c>
    </row>
    <row r="774" spans="1:19" ht="15">
      <c r="A774" s="1">
        <v>43</v>
      </c>
      <c r="B774" s="1" t="s">
        <v>68</v>
      </c>
      <c r="C774" s="1" t="s">
        <v>56</v>
      </c>
      <c r="D774" s="1">
        <v>2026</v>
      </c>
      <c r="E774" s="1" t="s">
        <v>22</v>
      </c>
      <c r="F774" s="1">
        <v>13036758</v>
      </c>
      <c r="G774" s="1">
        <v>6429985</v>
      </c>
      <c r="H774" s="1">
        <v>6606773</v>
      </c>
      <c r="I774" s="1">
        <v>993902</v>
      </c>
      <c r="J774" s="1">
        <v>52397</v>
      </c>
      <c r="K774" s="1">
        <v>7.62</v>
      </c>
      <c r="L774" s="1">
        <v>10.18</v>
      </c>
      <c r="M774" s="1">
        <v>33.4</v>
      </c>
      <c r="N774" s="1">
        <v>7.26</v>
      </c>
      <c r="O774" s="1">
        <v>26.49</v>
      </c>
      <c r="P774" s="1">
        <v>18.22</v>
      </c>
      <c r="Q774" s="1">
        <v>2877.7</v>
      </c>
      <c r="R774" s="1">
        <v>42</v>
      </c>
      <c r="S774" s="1">
        <v>60.3</v>
      </c>
    </row>
    <row r="775" spans="1:19" ht="15">
      <c r="A775" s="1">
        <v>43</v>
      </c>
      <c r="B775" s="1" t="s">
        <v>68</v>
      </c>
      <c r="C775" s="1" t="s">
        <v>56</v>
      </c>
      <c r="D775" s="1">
        <v>2026</v>
      </c>
      <c r="E775" s="1" t="s">
        <v>23</v>
      </c>
      <c r="F775" s="1">
        <v>181928584</v>
      </c>
      <c r="G775" s="1">
        <v>88322900</v>
      </c>
      <c r="H775" s="1">
        <v>93605684</v>
      </c>
      <c r="I775" s="1">
        <v>14315108</v>
      </c>
      <c r="J775" s="1">
        <v>1121815</v>
      </c>
      <c r="K775" s="1">
        <v>7.87</v>
      </c>
      <c r="L775" s="1">
        <v>21.48</v>
      </c>
      <c r="M775" s="1">
        <v>11.56</v>
      </c>
      <c r="N775" s="1">
        <v>6.61</v>
      </c>
      <c r="O775" s="1">
        <v>25.04</v>
      </c>
      <c r="P775" s="1">
        <v>20.18</v>
      </c>
      <c r="Q775" s="1">
        <v>4797.57</v>
      </c>
      <c r="R775" s="1">
        <v>46</v>
      </c>
      <c r="S775" s="1">
        <v>81.3</v>
      </c>
    </row>
    <row r="776" spans="1:19" ht="15">
      <c r="A776" s="1">
        <v>44</v>
      </c>
      <c r="B776" s="1" t="s">
        <v>69</v>
      </c>
      <c r="C776" s="1" t="s">
        <v>56</v>
      </c>
      <c r="D776" s="1">
        <v>2021</v>
      </c>
      <c r="E776" s="1" t="s">
        <v>21</v>
      </c>
      <c r="F776" s="1">
        <v>29024792</v>
      </c>
      <c r="G776" s="1">
        <v>15003749</v>
      </c>
      <c r="H776" s="1">
        <v>14021043</v>
      </c>
      <c r="I776" s="1">
        <v>1545158</v>
      </c>
      <c r="J776" s="1">
        <v>65701</v>
      </c>
      <c r="K776" s="1">
        <v>5.32</v>
      </c>
      <c r="L776" s="1">
        <v>28.21</v>
      </c>
      <c r="M776" s="1">
        <v>25.51</v>
      </c>
      <c r="N776" s="1">
        <v>6.61</v>
      </c>
      <c r="O776" s="1">
        <v>27.86</v>
      </c>
      <c r="P776" s="1">
        <v>39.979999999999997</v>
      </c>
      <c r="Q776" s="1">
        <v>8463.5400000000009</v>
      </c>
      <c r="R776" s="1">
        <v>77</v>
      </c>
      <c r="S776" s="1">
        <v>66.7</v>
      </c>
    </row>
    <row r="777" spans="1:19" ht="15">
      <c r="A777" s="1">
        <v>44</v>
      </c>
      <c r="B777" s="1" t="s">
        <v>69</v>
      </c>
      <c r="C777" s="1" t="s">
        <v>56</v>
      </c>
      <c r="D777" s="1">
        <v>2021</v>
      </c>
      <c r="E777" s="1" t="s">
        <v>22</v>
      </c>
      <c r="F777" s="1">
        <v>177301948</v>
      </c>
      <c r="G777" s="1">
        <v>89996618</v>
      </c>
      <c r="H777" s="1">
        <v>87305330</v>
      </c>
      <c r="I777" s="1">
        <v>15994841</v>
      </c>
      <c r="J777" s="1">
        <v>910478</v>
      </c>
      <c r="K777" s="1">
        <v>9.02</v>
      </c>
      <c r="L777" s="1">
        <v>10.16</v>
      </c>
      <c r="M777" s="1">
        <v>33.76</v>
      </c>
      <c r="N777" s="1">
        <v>6.96</v>
      </c>
      <c r="O777" s="1">
        <v>26.04</v>
      </c>
      <c r="P777" s="1">
        <v>21.3</v>
      </c>
      <c r="Q777" s="1">
        <v>11917.89</v>
      </c>
      <c r="R777" s="1">
        <v>67</v>
      </c>
      <c r="S777" s="1">
        <v>63.8</v>
      </c>
    </row>
    <row r="778" spans="1:19" ht="15">
      <c r="A778" s="1">
        <v>44</v>
      </c>
      <c r="B778" s="1" t="s">
        <v>69</v>
      </c>
      <c r="C778" s="1" t="s">
        <v>56</v>
      </c>
      <c r="D778" s="1">
        <v>2021</v>
      </c>
      <c r="E778" s="1" t="s">
        <v>23</v>
      </c>
      <c r="F778" s="1">
        <v>77069470</v>
      </c>
      <c r="G778" s="1">
        <v>39762553</v>
      </c>
      <c r="H778" s="1">
        <v>37306917</v>
      </c>
      <c r="I778" s="1">
        <v>6662183</v>
      </c>
      <c r="J778" s="1">
        <v>516732</v>
      </c>
      <c r="K778" s="1">
        <v>8.64</v>
      </c>
      <c r="L778" s="1">
        <v>26.23</v>
      </c>
      <c r="M778" s="1">
        <v>20.149999999999999</v>
      </c>
      <c r="N778" s="1">
        <v>7.25</v>
      </c>
      <c r="O778" s="1">
        <v>26.77</v>
      </c>
      <c r="P778" s="1">
        <v>20.48</v>
      </c>
      <c r="Q778" s="1">
        <v>7853.86</v>
      </c>
      <c r="R778" s="1">
        <v>43</v>
      </c>
      <c r="S778" s="1">
        <v>75.7</v>
      </c>
    </row>
    <row r="779" spans="1:19" ht="15">
      <c r="A779" s="1">
        <v>44</v>
      </c>
      <c r="B779" s="1" t="s">
        <v>69</v>
      </c>
      <c r="C779" s="1" t="s">
        <v>56</v>
      </c>
      <c r="D779" s="1">
        <v>2022</v>
      </c>
      <c r="E779" s="1" t="s">
        <v>21</v>
      </c>
      <c r="F779" s="1">
        <v>16490407</v>
      </c>
      <c r="G779" s="1">
        <v>8527602</v>
      </c>
      <c r="H779" s="1">
        <v>7962805</v>
      </c>
      <c r="I779" s="1">
        <v>1051370</v>
      </c>
      <c r="J779" s="1">
        <v>81018</v>
      </c>
      <c r="K779" s="1">
        <v>6.38</v>
      </c>
      <c r="L779" s="1">
        <v>12.17</v>
      </c>
      <c r="M779" s="1">
        <v>27.85</v>
      </c>
      <c r="N779" s="1">
        <v>12.76</v>
      </c>
      <c r="O779" s="1">
        <v>21.03</v>
      </c>
      <c r="P779" s="1">
        <v>38.67</v>
      </c>
      <c r="Q779" s="1">
        <v>7485.19</v>
      </c>
      <c r="R779" s="1">
        <v>67</v>
      </c>
      <c r="S779" s="1">
        <v>80.900000000000006</v>
      </c>
    </row>
    <row r="780" spans="1:19" ht="15">
      <c r="A780" s="1">
        <v>44</v>
      </c>
      <c r="B780" s="1" t="s">
        <v>69</v>
      </c>
      <c r="C780" s="1" t="s">
        <v>56</v>
      </c>
      <c r="D780" s="1">
        <v>2022</v>
      </c>
      <c r="E780" s="1" t="s">
        <v>22</v>
      </c>
      <c r="F780" s="1">
        <v>144446527</v>
      </c>
      <c r="G780" s="1">
        <v>73226561</v>
      </c>
      <c r="H780" s="1">
        <v>71219966</v>
      </c>
      <c r="I780" s="1">
        <v>8980009</v>
      </c>
      <c r="J780" s="1">
        <v>411453</v>
      </c>
      <c r="K780" s="1">
        <v>6.22</v>
      </c>
      <c r="L780" s="1">
        <v>26.49</v>
      </c>
      <c r="M780" s="1">
        <v>33.65</v>
      </c>
      <c r="N780" s="1">
        <v>10.84</v>
      </c>
      <c r="O780" s="1">
        <v>22.08</v>
      </c>
      <c r="P780" s="1">
        <v>39.9</v>
      </c>
      <c r="Q780" s="1">
        <v>4086.45</v>
      </c>
      <c r="R780" s="1">
        <v>54</v>
      </c>
      <c r="S780" s="1">
        <v>70.599999999999994</v>
      </c>
    </row>
    <row r="781" spans="1:19" ht="15">
      <c r="A781" s="1">
        <v>44</v>
      </c>
      <c r="B781" s="1" t="s">
        <v>69</v>
      </c>
      <c r="C781" s="1" t="s">
        <v>56</v>
      </c>
      <c r="D781" s="1">
        <v>2022</v>
      </c>
      <c r="E781" s="1" t="s">
        <v>23</v>
      </c>
      <c r="F781" s="1">
        <v>136654883</v>
      </c>
      <c r="G781" s="1">
        <v>70021004</v>
      </c>
      <c r="H781" s="1">
        <v>66633879</v>
      </c>
      <c r="I781" s="1">
        <v>6885027</v>
      </c>
      <c r="J781" s="1">
        <v>455330</v>
      </c>
      <c r="K781" s="1">
        <v>5.04</v>
      </c>
      <c r="L781" s="1">
        <v>28.88</v>
      </c>
      <c r="M781" s="1">
        <v>23.87</v>
      </c>
      <c r="N781" s="1">
        <v>10.11</v>
      </c>
      <c r="O781" s="1">
        <v>26.26</v>
      </c>
      <c r="P781" s="1">
        <v>25.66</v>
      </c>
      <c r="Q781" s="1">
        <v>4575.87</v>
      </c>
      <c r="R781" s="1">
        <v>41</v>
      </c>
      <c r="S781" s="1">
        <v>73.5</v>
      </c>
    </row>
    <row r="782" spans="1:19" ht="15">
      <c r="A782" s="1">
        <v>44</v>
      </c>
      <c r="B782" s="1" t="s">
        <v>69</v>
      </c>
      <c r="C782" s="1" t="s">
        <v>56</v>
      </c>
      <c r="D782" s="1">
        <v>2023</v>
      </c>
      <c r="E782" s="1" t="s">
        <v>21</v>
      </c>
      <c r="F782" s="1">
        <v>75339285</v>
      </c>
      <c r="G782" s="1">
        <v>37884719</v>
      </c>
      <c r="H782" s="1">
        <v>37454566</v>
      </c>
      <c r="I782" s="1">
        <v>5148628</v>
      </c>
      <c r="J782" s="1">
        <v>286593</v>
      </c>
      <c r="K782" s="1">
        <v>6.83</v>
      </c>
      <c r="L782" s="1">
        <v>26.76</v>
      </c>
      <c r="M782" s="1">
        <v>19.12</v>
      </c>
      <c r="N782" s="1">
        <v>13.83</v>
      </c>
      <c r="O782" s="1">
        <v>21.05</v>
      </c>
      <c r="P782" s="1">
        <v>27.83</v>
      </c>
      <c r="Q782" s="1">
        <v>6214.76</v>
      </c>
      <c r="R782" s="1">
        <v>56</v>
      </c>
      <c r="S782" s="1">
        <v>75.3</v>
      </c>
    </row>
    <row r="783" spans="1:19" ht="15">
      <c r="A783" s="1">
        <v>44</v>
      </c>
      <c r="B783" s="1" t="s">
        <v>69</v>
      </c>
      <c r="C783" s="1" t="s">
        <v>56</v>
      </c>
      <c r="D783" s="1">
        <v>2023</v>
      </c>
      <c r="E783" s="1" t="s">
        <v>22</v>
      </c>
      <c r="F783" s="1">
        <v>59906284</v>
      </c>
      <c r="G783" s="1">
        <v>29451027</v>
      </c>
      <c r="H783" s="1">
        <v>30455257</v>
      </c>
      <c r="I783" s="1">
        <v>4257730</v>
      </c>
      <c r="J783" s="1">
        <v>331717</v>
      </c>
      <c r="K783" s="1">
        <v>7.11</v>
      </c>
      <c r="L783" s="1">
        <v>21.21</v>
      </c>
      <c r="M783" s="1">
        <v>14.44</v>
      </c>
      <c r="N783" s="1">
        <v>8.51</v>
      </c>
      <c r="O783" s="1">
        <v>21.86</v>
      </c>
      <c r="P783" s="1">
        <v>29.96</v>
      </c>
      <c r="Q783" s="1">
        <v>1156.1400000000001</v>
      </c>
      <c r="R783" s="1">
        <v>41</v>
      </c>
      <c r="S783" s="1">
        <v>77.900000000000006</v>
      </c>
    </row>
    <row r="784" spans="1:19" ht="15">
      <c r="A784" s="1">
        <v>44</v>
      </c>
      <c r="B784" s="1" t="s">
        <v>69</v>
      </c>
      <c r="C784" s="1" t="s">
        <v>56</v>
      </c>
      <c r="D784" s="1">
        <v>2023</v>
      </c>
      <c r="E784" s="1" t="s">
        <v>23</v>
      </c>
      <c r="F784" s="1">
        <v>140936889</v>
      </c>
      <c r="G784" s="1">
        <v>69019071</v>
      </c>
      <c r="H784" s="1">
        <v>71917818</v>
      </c>
      <c r="I784" s="1">
        <v>11627259</v>
      </c>
      <c r="J784" s="1">
        <v>866513</v>
      </c>
      <c r="K784" s="1">
        <v>8.25</v>
      </c>
      <c r="L784" s="1">
        <v>15.97</v>
      </c>
      <c r="M784" s="1">
        <v>30.35</v>
      </c>
      <c r="N784" s="1">
        <v>10.95</v>
      </c>
      <c r="O784" s="1">
        <v>35.43</v>
      </c>
      <c r="P784" s="1">
        <v>17.88</v>
      </c>
      <c r="Q784" s="1">
        <v>2369</v>
      </c>
      <c r="R784" s="1">
        <v>60</v>
      </c>
      <c r="S784" s="1">
        <v>79.599999999999994</v>
      </c>
    </row>
    <row r="785" spans="1:19" ht="15">
      <c r="A785" s="1">
        <v>44</v>
      </c>
      <c r="B785" s="1" t="s">
        <v>69</v>
      </c>
      <c r="C785" s="1" t="s">
        <v>56</v>
      </c>
      <c r="D785" s="1">
        <v>2024</v>
      </c>
      <c r="E785" s="1" t="s">
        <v>21</v>
      </c>
      <c r="F785" s="1">
        <v>10674502</v>
      </c>
      <c r="G785" s="1">
        <v>5445559</v>
      </c>
      <c r="H785" s="1">
        <v>5228943</v>
      </c>
      <c r="I785" s="1">
        <v>1052053</v>
      </c>
      <c r="J785" s="1">
        <v>44916</v>
      </c>
      <c r="K785" s="1">
        <v>9.86</v>
      </c>
      <c r="L785" s="1">
        <v>20.89</v>
      </c>
      <c r="M785" s="1">
        <v>25.18</v>
      </c>
      <c r="N785" s="1">
        <v>10.63</v>
      </c>
      <c r="O785" s="1">
        <v>37.299999999999997</v>
      </c>
      <c r="P785" s="1">
        <v>33.49</v>
      </c>
      <c r="Q785" s="1">
        <v>916.93</v>
      </c>
      <c r="R785" s="1">
        <v>68</v>
      </c>
      <c r="S785" s="1">
        <v>75.2</v>
      </c>
    </row>
    <row r="786" spans="1:19" ht="15">
      <c r="A786" s="1">
        <v>44</v>
      </c>
      <c r="B786" s="1" t="s">
        <v>69</v>
      </c>
      <c r="C786" s="1" t="s">
        <v>56</v>
      </c>
      <c r="D786" s="1">
        <v>2024</v>
      </c>
      <c r="E786" s="1" t="s">
        <v>22</v>
      </c>
      <c r="F786" s="1">
        <v>96191892</v>
      </c>
      <c r="G786" s="1">
        <v>47407622</v>
      </c>
      <c r="H786" s="1">
        <v>48784270</v>
      </c>
      <c r="I786" s="1">
        <v>8299414</v>
      </c>
      <c r="J786" s="1">
        <v>588348</v>
      </c>
      <c r="K786" s="1">
        <v>8.6300000000000008</v>
      </c>
      <c r="L786" s="1">
        <v>11.72</v>
      </c>
      <c r="M786" s="1">
        <v>19.91</v>
      </c>
      <c r="N786" s="1">
        <v>11.92</v>
      </c>
      <c r="O786" s="1">
        <v>30.84</v>
      </c>
      <c r="P786" s="1">
        <v>34.619999999999997</v>
      </c>
      <c r="Q786" s="1">
        <v>3612.82</v>
      </c>
      <c r="R786" s="1">
        <v>60</v>
      </c>
      <c r="S786" s="1">
        <v>77.8</v>
      </c>
    </row>
    <row r="787" spans="1:19" ht="15">
      <c r="A787" s="1">
        <v>44</v>
      </c>
      <c r="B787" s="1" t="s">
        <v>69</v>
      </c>
      <c r="C787" s="1" t="s">
        <v>56</v>
      </c>
      <c r="D787" s="1">
        <v>2024</v>
      </c>
      <c r="E787" s="1" t="s">
        <v>23</v>
      </c>
      <c r="F787" s="1">
        <v>3836645</v>
      </c>
      <c r="G787" s="1">
        <v>1902724</v>
      </c>
      <c r="H787" s="1">
        <v>1933921</v>
      </c>
      <c r="I787" s="1">
        <v>373093</v>
      </c>
      <c r="J787" s="1">
        <v>11460</v>
      </c>
      <c r="K787" s="1">
        <v>9.7200000000000006</v>
      </c>
      <c r="L787" s="1">
        <v>18.46</v>
      </c>
      <c r="M787" s="1">
        <v>21.88</v>
      </c>
      <c r="N787" s="1">
        <v>9.0299999999999994</v>
      </c>
      <c r="O787" s="1">
        <v>24.28</v>
      </c>
      <c r="P787" s="1">
        <v>23.47</v>
      </c>
      <c r="Q787" s="1">
        <v>1658.12</v>
      </c>
      <c r="R787" s="1">
        <v>60</v>
      </c>
      <c r="S787" s="1">
        <v>67.8</v>
      </c>
    </row>
    <row r="788" spans="1:19" ht="15">
      <c r="A788" s="1">
        <v>44</v>
      </c>
      <c r="B788" s="1" t="s">
        <v>69</v>
      </c>
      <c r="C788" s="1" t="s">
        <v>56</v>
      </c>
      <c r="D788" s="1">
        <v>2025</v>
      </c>
      <c r="E788" s="1" t="s">
        <v>21</v>
      </c>
      <c r="F788" s="1">
        <v>72554951</v>
      </c>
      <c r="G788" s="1">
        <v>36847555</v>
      </c>
      <c r="H788" s="1">
        <v>35707396</v>
      </c>
      <c r="I788" s="1">
        <v>4068916</v>
      </c>
      <c r="J788" s="1">
        <v>307751</v>
      </c>
      <c r="K788" s="1">
        <v>5.61</v>
      </c>
      <c r="L788" s="1">
        <v>14.07</v>
      </c>
      <c r="M788" s="1">
        <v>19.420000000000002</v>
      </c>
      <c r="N788" s="1">
        <v>13.93</v>
      </c>
      <c r="O788" s="1">
        <v>39.47</v>
      </c>
      <c r="P788" s="1">
        <v>39.28</v>
      </c>
      <c r="Q788" s="1">
        <v>8993.65</v>
      </c>
      <c r="R788" s="1">
        <v>51</v>
      </c>
      <c r="S788" s="1">
        <v>68.8</v>
      </c>
    </row>
    <row r="789" spans="1:19" ht="15">
      <c r="A789" s="1">
        <v>44</v>
      </c>
      <c r="B789" s="1" t="s">
        <v>69</v>
      </c>
      <c r="C789" s="1" t="s">
        <v>56</v>
      </c>
      <c r="D789" s="1">
        <v>2025</v>
      </c>
      <c r="E789" s="1" t="s">
        <v>22</v>
      </c>
      <c r="F789" s="1">
        <v>154213602</v>
      </c>
      <c r="G789" s="1">
        <v>78682677</v>
      </c>
      <c r="H789" s="1">
        <v>75530925</v>
      </c>
      <c r="I789" s="1">
        <v>8559294</v>
      </c>
      <c r="J789" s="1">
        <v>522939</v>
      </c>
      <c r="K789" s="1">
        <v>5.55</v>
      </c>
      <c r="L789" s="1">
        <v>14.23</v>
      </c>
      <c r="M789" s="1">
        <v>20.29</v>
      </c>
      <c r="N789" s="1">
        <v>6.14</v>
      </c>
      <c r="O789" s="1">
        <v>20.53</v>
      </c>
      <c r="P789" s="1">
        <v>18.89</v>
      </c>
      <c r="Q789" s="1">
        <v>5571.42</v>
      </c>
      <c r="R789" s="1">
        <v>78</v>
      </c>
      <c r="S789" s="1">
        <v>65.400000000000006</v>
      </c>
    </row>
    <row r="790" spans="1:19" ht="15">
      <c r="A790" s="1">
        <v>44</v>
      </c>
      <c r="B790" s="1" t="s">
        <v>69</v>
      </c>
      <c r="C790" s="1" t="s">
        <v>56</v>
      </c>
      <c r="D790" s="1">
        <v>2025</v>
      </c>
      <c r="E790" s="1" t="s">
        <v>23</v>
      </c>
      <c r="F790" s="1">
        <v>152834000</v>
      </c>
      <c r="G790" s="1">
        <v>74073886</v>
      </c>
      <c r="H790" s="1">
        <v>78760114</v>
      </c>
      <c r="I790" s="1">
        <v>8180429</v>
      </c>
      <c r="J790" s="1">
        <v>430963</v>
      </c>
      <c r="K790" s="1">
        <v>5.35</v>
      </c>
      <c r="L790" s="1">
        <v>18.03</v>
      </c>
      <c r="M790" s="1">
        <v>22.58</v>
      </c>
      <c r="N790" s="1">
        <v>10.56</v>
      </c>
      <c r="O790" s="1">
        <v>25.65</v>
      </c>
      <c r="P790" s="1">
        <v>21.34</v>
      </c>
      <c r="Q790" s="1">
        <v>11725.05</v>
      </c>
      <c r="R790" s="1">
        <v>81</v>
      </c>
      <c r="S790" s="1">
        <v>74.7</v>
      </c>
    </row>
    <row r="791" spans="1:19" ht="15">
      <c r="A791" s="1">
        <v>44</v>
      </c>
      <c r="B791" s="1" t="s">
        <v>69</v>
      </c>
      <c r="C791" s="1" t="s">
        <v>56</v>
      </c>
      <c r="D791" s="1">
        <v>2026</v>
      </c>
      <c r="E791" s="1" t="s">
        <v>21</v>
      </c>
      <c r="F791" s="1">
        <v>7891971</v>
      </c>
      <c r="G791" s="1">
        <v>3849143</v>
      </c>
      <c r="H791" s="1">
        <v>4042828</v>
      </c>
      <c r="I791" s="1">
        <v>680817</v>
      </c>
      <c r="J791" s="1">
        <v>34490</v>
      </c>
      <c r="K791" s="1">
        <v>8.6300000000000008</v>
      </c>
      <c r="L791" s="1">
        <v>25.69</v>
      </c>
      <c r="M791" s="1">
        <v>34.19</v>
      </c>
      <c r="N791" s="1">
        <v>8.77</v>
      </c>
      <c r="O791" s="1">
        <v>28.23</v>
      </c>
      <c r="P791" s="1">
        <v>37.119999999999997</v>
      </c>
      <c r="Q791" s="1">
        <v>9206.89</v>
      </c>
      <c r="R791" s="1">
        <v>58</v>
      </c>
      <c r="S791" s="1">
        <v>69.900000000000006</v>
      </c>
    </row>
    <row r="792" spans="1:19" ht="15">
      <c r="A792" s="1">
        <v>44</v>
      </c>
      <c r="B792" s="1" t="s">
        <v>69</v>
      </c>
      <c r="C792" s="1" t="s">
        <v>56</v>
      </c>
      <c r="D792" s="1">
        <v>2026</v>
      </c>
      <c r="E792" s="1" t="s">
        <v>22</v>
      </c>
      <c r="F792" s="1">
        <v>193407558</v>
      </c>
      <c r="G792" s="1">
        <v>99510873</v>
      </c>
      <c r="H792" s="1">
        <v>93896685</v>
      </c>
      <c r="I792" s="1">
        <v>19120372</v>
      </c>
      <c r="J792" s="1">
        <v>1130290</v>
      </c>
      <c r="K792" s="1">
        <v>9.89</v>
      </c>
      <c r="L792" s="1">
        <v>12.35</v>
      </c>
      <c r="M792" s="1">
        <v>16.59</v>
      </c>
      <c r="N792" s="1">
        <v>9.9499999999999993</v>
      </c>
      <c r="O792" s="1">
        <v>28.99</v>
      </c>
      <c r="P792" s="1">
        <v>27.5</v>
      </c>
      <c r="Q792" s="1">
        <v>8285.5400000000009</v>
      </c>
      <c r="R792" s="1">
        <v>40</v>
      </c>
      <c r="S792" s="1">
        <v>71.3</v>
      </c>
    </row>
    <row r="793" spans="1:19" ht="15">
      <c r="A793" s="1">
        <v>44</v>
      </c>
      <c r="B793" s="1" t="s">
        <v>69</v>
      </c>
      <c r="C793" s="1" t="s">
        <v>56</v>
      </c>
      <c r="D793" s="1">
        <v>2026</v>
      </c>
      <c r="E793" s="1" t="s">
        <v>23</v>
      </c>
      <c r="F793" s="1">
        <v>55417276</v>
      </c>
      <c r="G793" s="1">
        <v>26619590</v>
      </c>
      <c r="H793" s="1">
        <v>28797686</v>
      </c>
      <c r="I793" s="1">
        <v>4790204</v>
      </c>
      <c r="J793" s="1">
        <v>283861</v>
      </c>
      <c r="K793" s="1">
        <v>8.64</v>
      </c>
      <c r="L793" s="1">
        <v>13.97</v>
      </c>
      <c r="M793" s="1">
        <v>30.65</v>
      </c>
      <c r="N793" s="1">
        <v>10.47</v>
      </c>
      <c r="O793" s="1">
        <v>32.39</v>
      </c>
      <c r="P793" s="1">
        <v>21.6</v>
      </c>
      <c r="Q793" s="1">
        <v>7735.56</v>
      </c>
      <c r="R793" s="1">
        <v>43</v>
      </c>
      <c r="S793" s="1">
        <v>68.5</v>
      </c>
    </row>
    <row r="794" spans="1:19" ht="15">
      <c r="A794" s="1">
        <v>45</v>
      </c>
      <c r="B794" s="1" t="s">
        <v>70</v>
      </c>
      <c r="C794" s="1" t="s">
        <v>56</v>
      </c>
      <c r="D794" s="1">
        <v>2021</v>
      </c>
      <c r="E794" s="1" t="s">
        <v>21</v>
      </c>
      <c r="F794" s="1">
        <v>25701812</v>
      </c>
      <c r="G794" s="1">
        <v>12595902</v>
      </c>
      <c r="H794" s="1">
        <v>13105910</v>
      </c>
      <c r="I794" s="1">
        <v>2520926</v>
      </c>
      <c r="J794" s="1">
        <v>186604</v>
      </c>
      <c r="K794" s="1">
        <v>9.81</v>
      </c>
      <c r="L794" s="1">
        <v>23.67</v>
      </c>
      <c r="M794" s="1">
        <v>14.55</v>
      </c>
      <c r="N794" s="1">
        <v>6.56</v>
      </c>
      <c r="O794" s="1">
        <v>26.18</v>
      </c>
      <c r="P794" s="1">
        <v>20.22</v>
      </c>
      <c r="Q794" s="1">
        <v>3040.79</v>
      </c>
      <c r="R794" s="1">
        <v>83</v>
      </c>
      <c r="S794" s="1">
        <v>73.900000000000006</v>
      </c>
    </row>
    <row r="795" spans="1:19" ht="15">
      <c r="A795" s="1">
        <v>45</v>
      </c>
      <c r="B795" s="1" t="s">
        <v>70</v>
      </c>
      <c r="C795" s="1" t="s">
        <v>56</v>
      </c>
      <c r="D795" s="1">
        <v>2021</v>
      </c>
      <c r="E795" s="1" t="s">
        <v>22</v>
      </c>
      <c r="F795" s="1">
        <v>105842464</v>
      </c>
      <c r="G795" s="1">
        <v>53151775</v>
      </c>
      <c r="H795" s="1">
        <v>52690689</v>
      </c>
      <c r="I795" s="1">
        <v>9637230</v>
      </c>
      <c r="J795" s="1">
        <v>470872</v>
      </c>
      <c r="K795" s="1">
        <v>9.11</v>
      </c>
      <c r="L795" s="1">
        <v>10.87</v>
      </c>
      <c r="M795" s="1">
        <v>15.39</v>
      </c>
      <c r="N795" s="1">
        <v>7.7</v>
      </c>
      <c r="O795" s="1">
        <v>21.35</v>
      </c>
      <c r="P795" s="1">
        <v>16.350000000000001</v>
      </c>
      <c r="Q795" s="1">
        <v>1189.6099999999999</v>
      </c>
      <c r="R795" s="1">
        <v>61</v>
      </c>
      <c r="S795" s="1">
        <v>71.599999999999994</v>
      </c>
    </row>
    <row r="796" spans="1:19" ht="15">
      <c r="A796" s="1">
        <v>45</v>
      </c>
      <c r="B796" s="1" t="s">
        <v>70</v>
      </c>
      <c r="C796" s="1" t="s">
        <v>56</v>
      </c>
      <c r="D796" s="1">
        <v>2021</v>
      </c>
      <c r="E796" s="1" t="s">
        <v>23</v>
      </c>
      <c r="F796" s="1">
        <v>23009466</v>
      </c>
      <c r="G796" s="1">
        <v>11445976</v>
      </c>
      <c r="H796" s="1">
        <v>11563490</v>
      </c>
      <c r="I796" s="1">
        <v>2147842</v>
      </c>
      <c r="J796" s="1">
        <v>143986</v>
      </c>
      <c r="K796" s="1">
        <v>9.33</v>
      </c>
      <c r="L796" s="1">
        <v>17.11</v>
      </c>
      <c r="M796" s="1">
        <v>12.7</v>
      </c>
      <c r="N796" s="1">
        <v>10.72</v>
      </c>
      <c r="O796" s="1">
        <v>39.24</v>
      </c>
      <c r="P796" s="1">
        <v>24.18</v>
      </c>
      <c r="Q796" s="1">
        <v>11590.15</v>
      </c>
      <c r="R796" s="1">
        <v>62</v>
      </c>
      <c r="S796" s="1">
        <v>65.900000000000006</v>
      </c>
    </row>
    <row r="797" spans="1:19" ht="15">
      <c r="A797" s="1">
        <v>45</v>
      </c>
      <c r="B797" s="1" t="s">
        <v>70</v>
      </c>
      <c r="C797" s="1" t="s">
        <v>56</v>
      </c>
      <c r="D797" s="1">
        <v>2022</v>
      </c>
      <c r="E797" s="1" t="s">
        <v>21</v>
      </c>
      <c r="F797" s="1">
        <v>91413695</v>
      </c>
      <c r="G797" s="1">
        <v>46162222</v>
      </c>
      <c r="H797" s="1">
        <v>45251473</v>
      </c>
      <c r="I797" s="1">
        <v>8415789</v>
      </c>
      <c r="J797" s="1">
        <v>295220</v>
      </c>
      <c r="K797" s="1">
        <v>9.2100000000000009</v>
      </c>
      <c r="L797" s="1">
        <v>28.27</v>
      </c>
      <c r="M797" s="1">
        <v>19.850000000000001</v>
      </c>
      <c r="N797" s="1">
        <v>8.94</v>
      </c>
      <c r="O797" s="1">
        <v>33.909999999999997</v>
      </c>
      <c r="P797" s="1">
        <v>35.56</v>
      </c>
      <c r="Q797" s="1">
        <v>1778.31</v>
      </c>
      <c r="R797" s="1">
        <v>58</v>
      </c>
      <c r="S797" s="1">
        <v>76.900000000000006</v>
      </c>
    </row>
    <row r="798" spans="1:19" ht="15">
      <c r="A798" s="1">
        <v>45</v>
      </c>
      <c r="B798" s="1" t="s">
        <v>70</v>
      </c>
      <c r="C798" s="1" t="s">
        <v>56</v>
      </c>
      <c r="D798" s="1">
        <v>2022</v>
      </c>
      <c r="E798" s="1" t="s">
        <v>22</v>
      </c>
      <c r="F798" s="1">
        <v>86758114</v>
      </c>
      <c r="G798" s="1">
        <v>43214155</v>
      </c>
      <c r="H798" s="1">
        <v>43543959</v>
      </c>
      <c r="I798" s="1">
        <v>8569333</v>
      </c>
      <c r="J798" s="1">
        <v>533615</v>
      </c>
      <c r="K798" s="1">
        <v>9.8800000000000008</v>
      </c>
      <c r="L798" s="1">
        <v>12.89</v>
      </c>
      <c r="M798" s="1">
        <v>12.68</v>
      </c>
      <c r="N798" s="1">
        <v>9.2899999999999991</v>
      </c>
      <c r="O798" s="1">
        <v>31.37</v>
      </c>
      <c r="P798" s="1">
        <v>26.19</v>
      </c>
      <c r="Q798" s="1">
        <v>10222.75</v>
      </c>
      <c r="R798" s="1">
        <v>77</v>
      </c>
      <c r="S798" s="1">
        <v>81.400000000000006</v>
      </c>
    </row>
    <row r="799" spans="1:19" ht="15">
      <c r="A799" s="1">
        <v>45</v>
      </c>
      <c r="B799" s="1" t="s">
        <v>70</v>
      </c>
      <c r="C799" s="1" t="s">
        <v>56</v>
      </c>
      <c r="D799" s="1">
        <v>2022</v>
      </c>
      <c r="E799" s="1" t="s">
        <v>23</v>
      </c>
      <c r="F799" s="1">
        <v>122836220</v>
      </c>
      <c r="G799" s="1">
        <v>63501134</v>
      </c>
      <c r="H799" s="1">
        <v>59335086</v>
      </c>
      <c r="I799" s="1">
        <v>9431880</v>
      </c>
      <c r="J799" s="1">
        <v>468306</v>
      </c>
      <c r="K799" s="1">
        <v>7.68</v>
      </c>
      <c r="L799" s="1">
        <v>13.61</v>
      </c>
      <c r="M799" s="1">
        <v>27.56</v>
      </c>
      <c r="N799" s="1">
        <v>11.29</v>
      </c>
      <c r="O799" s="1">
        <v>30.59</v>
      </c>
      <c r="P799" s="1">
        <v>37.86</v>
      </c>
      <c r="Q799" s="1">
        <v>5129.1400000000003</v>
      </c>
      <c r="R799" s="1">
        <v>76</v>
      </c>
      <c r="S799" s="1">
        <v>71.900000000000006</v>
      </c>
    </row>
    <row r="800" spans="1:19" ht="15">
      <c r="A800" s="1">
        <v>45</v>
      </c>
      <c r="B800" s="1" t="s">
        <v>70</v>
      </c>
      <c r="C800" s="1" t="s">
        <v>56</v>
      </c>
      <c r="D800" s="1">
        <v>2023</v>
      </c>
      <c r="E800" s="1" t="s">
        <v>21</v>
      </c>
      <c r="F800" s="1">
        <v>100718309</v>
      </c>
      <c r="G800" s="1">
        <v>49619839</v>
      </c>
      <c r="H800" s="1">
        <v>51098470</v>
      </c>
      <c r="I800" s="1">
        <v>7265796</v>
      </c>
      <c r="J800" s="1">
        <v>378053</v>
      </c>
      <c r="K800" s="1">
        <v>7.21</v>
      </c>
      <c r="L800" s="1">
        <v>21.05</v>
      </c>
      <c r="M800" s="1">
        <v>21.1</v>
      </c>
      <c r="N800" s="1">
        <v>8.43</v>
      </c>
      <c r="O800" s="1">
        <v>23.95</v>
      </c>
      <c r="P800" s="1">
        <v>36.43</v>
      </c>
      <c r="Q800" s="1">
        <v>6432.6</v>
      </c>
      <c r="R800" s="1">
        <v>42</v>
      </c>
      <c r="S800" s="1">
        <v>81.8</v>
      </c>
    </row>
    <row r="801" spans="1:19" ht="15">
      <c r="A801" s="1">
        <v>45</v>
      </c>
      <c r="B801" s="1" t="s">
        <v>70</v>
      </c>
      <c r="C801" s="1" t="s">
        <v>56</v>
      </c>
      <c r="D801" s="1">
        <v>2023</v>
      </c>
      <c r="E801" s="1" t="s">
        <v>22</v>
      </c>
      <c r="F801" s="1">
        <v>171735794</v>
      </c>
      <c r="G801" s="1">
        <v>84450004</v>
      </c>
      <c r="H801" s="1">
        <v>87285790</v>
      </c>
      <c r="I801" s="1">
        <v>13738118</v>
      </c>
      <c r="J801" s="1">
        <v>1062895</v>
      </c>
      <c r="K801" s="1">
        <v>8</v>
      </c>
      <c r="L801" s="1">
        <v>14.08</v>
      </c>
      <c r="M801" s="1">
        <v>16.579999999999998</v>
      </c>
      <c r="N801" s="1">
        <v>10.67</v>
      </c>
      <c r="O801" s="1">
        <v>21.91</v>
      </c>
      <c r="P801" s="1">
        <v>17.38</v>
      </c>
      <c r="Q801" s="1">
        <v>1837.83</v>
      </c>
      <c r="R801" s="1">
        <v>51</v>
      </c>
      <c r="S801" s="1">
        <v>81.2</v>
      </c>
    </row>
    <row r="802" spans="1:19" ht="15">
      <c r="A802" s="1">
        <v>45</v>
      </c>
      <c r="B802" s="1" t="s">
        <v>70</v>
      </c>
      <c r="C802" s="1" t="s">
        <v>56</v>
      </c>
      <c r="D802" s="1">
        <v>2023</v>
      </c>
      <c r="E802" s="1" t="s">
        <v>23</v>
      </c>
      <c r="F802" s="1">
        <v>188364672</v>
      </c>
      <c r="G802" s="1">
        <v>97702749</v>
      </c>
      <c r="H802" s="1">
        <v>90661923</v>
      </c>
      <c r="I802" s="1">
        <v>13289220</v>
      </c>
      <c r="J802" s="1">
        <v>490729</v>
      </c>
      <c r="K802" s="1">
        <v>7.06</v>
      </c>
      <c r="L802" s="1">
        <v>23.38</v>
      </c>
      <c r="M802" s="1">
        <v>19.36</v>
      </c>
      <c r="N802" s="1">
        <v>9.5</v>
      </c>
      <c r="O802" s="1">
        <v>22.64</v>
      </c>
      <c r="P802" s="1">
        <v>18.22</v>
      </c>
      <c r="Q802" s="1">
        <v>2354.7600000000002</v>
      </c>
      <c r="R802" s="1">
        <v>53</v>
      </c>
      <c r="S802" s="1">
        <v>77</v>
      </c>
    </row>
    <row r="803" spans="1:19" ht="15">
      <c r="A803" s="1">
        <v>45</v>
      </c>
      <c r="B803" s="1" t="s">
        <v>70</v>
      </c>
      <c r="C803" s="1" t="s">
        <v>56</v>
      </c>
      <c r="D803" s="1">
        <v>2024</v>
      </c>
      <c r="E803" s="1" t="s">
        <v>21</v>
      </c>
      <c r="F803" s="1">
        <v>176200882</v>
      </c>
      <c r="G803" s="1">
        <v>89362479</v>
      </c>
      <c r="H803" s="1">
        <v>86838403</v>
      </c>
      <c r="I803" s="1">
        <v>12794539</v>
      </c>
      <c r="J803" s="1">
        <v>876473</v>
      </c>
      <c r="K803" s="1">
        <v>7.26</v>
      </c>
      <c r="L803" s="1">
        <v>16.87</v>
      </c>
      <c r="M803" s="1">
        <v>13.12</v>
      </c>
      <c r="N803" s="1">
        <v>9.01</v>
      </c>
      <c r="O803" s="1">
        <v>33.99</v>
      </c>
      <c r="P803" s="1">
        <v>32.17</v>
      </c>
      <c r="Q803" s="1">
        <v>11828.82</v>
      </c>
      <c r="R803" s="1">
        <v>72</v>
      </c>
      <c r="S803" s="1">
        <v>61.9</v>
      </c>
    </row>
    <row r="804" spans="1:19" ht="15">
      <c r="A804" s="1">
        <v>45</v>
      </c>
      <c r="B804" s="1" t="s">
        <v>70</v>
      </c>
      <c r="C804" s="1" t="s">
        <v>56</v>
      </c>
      <c r="D804" s="1">
        <v>2024</v>
      </c>
      <c r="E804" s="1" t="s">
        <v>22</v>
      </c>
      <c r="F804" s="1">
        <v>124258314</v>
      </c>
      <c r="G804" s="1">
        <v>61789101</v>
      </c>
      <c r="H804" s="1">
        <v>62469213</v>
      </c>
      <c r="I804" s="1">
        <v>11514357</v>
      </c>
      <c r="J804" s="1">
        <v>848219</v>
      </c>
      <c r="K804" s="1">
        <v>9.27</v>
      </c>
      <c r="L804" s="1">
        <v>28.67</v>
      </c>
      <c r="M804" s="1">
        <v>13.35</v>
      </c>
      <c r="N804" s="1">
        <v>11.85</v>
      </c>
      <c r="O804" s="1">
        <v>31.8</v>
      </c>
      <c r="P804" s="1">
        <v>21.89</v>
      </c>
      <c r="Q804" s="1">
        <v>2436.5700000000002</v>
      </c>
      <c r="R804" s="1">
        <v>46</v>
      </c>
      <c r="S804" s="1">
        <v>71.7</v>
      </c>
    </row>
    <row r="805" spans="1:19" ht="15">
      <c r="A805" s="1">
        <v>45</v>
      </c>
      <c r="B805" s="1" t="s">
        <v>70</v>
      </c>
      <c r="C805" s="1" t="s">
        <v>56</v>
      </c>
      <c r="D805" s="1">
        <v>2024</v>
      </c>
      <c r="E805" s="1" t="s">
        <v>23</v>
      </c>
      <c r="F805" s="1">
        <v>30182798</v>
      </c>
      <c r="G805" s="1">
        <v>15460236</v>
      </c>
      <c r="H805" s="1">
        <v>14722562</v>
      </c>
      <c r="I805" s="1">
        <v>2847746</v>
      </c>
      <c r="J805" s="1">
        <v>212751</v>
      </c>
      <c r="K805" s="1">
        <v>9.43</v>
      </c>
      <c r="L805" s="1">
        <v>28.03</v>
      </c>
      <c r="M805" s="1">
        <v>15.66</v>
      </c>
      <c r="N805" s="1">
        <v>12.96</v>
      </c>
      <c r="O805" s="1">
        <v>39.96</v>
      </c>
      <c r="P805" s="1">
        <v>23.7</v>
      </c>
      <c r="Q805" s="1">
        <v>6060.55</v>
      </c>
      <c r="R805" s="1">
        <v>62</v>
      </c>
      <c r="S805" s="1">
        <v>69.3</v>
      </c>
    </row>
    <row r="806" spans="1:19" ht="15">
      <c r="A806" s="1">
        <v>45</v>
      </c>
      <c r="B806" s="1" t="s">
        <v>70</v>
      </c>
      <c r="C806" s="1" t="s">
        <v>56</v>
      </c>
      <c r="D806" s="1">
        <v>2025</v>
      </c>
      <c r="E806" s="1" t="s">
        <v>21</v>
      </c>
      <c r="F806" s="1">
        <v>49707500</v>
      </c>
      <c r="G806" s="1">
        <v>25110269</v>
      </c>
      <c r="H806" s="1">
        <v>24597231</v>
      </c>
      <c r="I806" s="1">
        <v>2702493</v>
      </c>
      <c r="J806" s="1">
        <v>202672</v>
      </c>
      <c r="K806" s="1">
        <v>5.44</v>
      </c>
      <c r="L806" s="1">
        <v>19.93</v>
      </c>
      <c r="M806" s="1">
        <v>10.34</v>
      </c>
      <c r="N806" s="1">
        <v>7.21</v>
      </c>
      <c r="O806" s="1">
        <v>38.270000000000003</v>
      </c>
      <c r="P806" s="1">
        <v>35.950000000000003</v>
      </c>
      <c r="Q806" s="1">
        <v>11299.17</v>
      </c>
      <c r="R806" s="1">
        <v>41</v>
      </c>
      <c r="S806" s="1">
        <v>76.400000000000006</v>
      </c>
    </row>
    <row r="807" spans="1:19" ht="15">
      <c r="A807" s="1">
        <v>45</v>
      </c>
      <c r="B807" s="1" t="s">
        <v>70</v>
      </c>
      <c r="C807" s="1" t="s">
        <v>56</v>
      </c>
      <c r="D807" s="1">
        <v>2025</v>
      </c>
      <c r="E807" s="1" t="s">
        <v>22</v>
      </c>
      <c r="F807" s="1">
        <v>102392277</v>
      </c>
      <c r="G807" s="1">
        <v>50000521</v>
      </c>
      <c r="H807" s="1">
        <v>52391756</v>
      </c>
      <c r="I807" s="1">
        <v>6907149</v>
      </c>
      <c r="J807" s="1">
        <v>418426</v>
      </c>
      <c r="K807" s="1">
        <v>6.75</v>
      </c>
      <c r="L807" s="1">
        <v>28.34</v>
      </c>
      <c r="M807" s="1">
        <v>17.91</v>
      </c>
      <c r="N807" s="1">
        <v>5.89</v>
      </c>
      <c r="O807" s="1">
        <v>25.62</v>
      </c>
      <c r="P807" s="1">
        <v>17.27</v>
      </c>
      <c r="Q807" s="1">
        <v>8465.39</v>
      </c>
      <c r="R807" s="1">
        <v>65</v>
      </c>
      <c r="S807" s="1">
        <v>72.5</v>
      </c>
    </row>
    <row r="808" spans="1:19" ht="15">
      <c r="A808" s="1">
        <v>45</v>
      </c>
      <c r="B808" s="1" t="s">
        <v>70</v>
      </c>
      <c r="C808" s="1" t="s">
        <v>56</v>
      </c>
      <c r="D808" s="1">
        <v>2025</v>
      </c>
      <c r="E808" s="1" t="s">
        <v>23</v>
      </c>
      <c r="F808" s="1">
        <v>13162247</v>
      </c>
      <c r="G808" s="1">
        <v>6565847</v>
      </c>
      <c r="H808" s="1">
        <v>6596400</v>
      </c>
      <c r="I808" s="1">
        <v>1169457</v>
      </c>
      <c r="J808" s="1">
        <v>52267</v>
      </c>
      <c r="K808" s="1">
        <v>8.8800000000000008</v>
      </c>
      <c r="L808" s="1">
        <v>18.59</v>
      </c>
      <c r="M808" s="1">
        <v>26.6</v>
      </c>
      <c r="N808" s="1">
        <v>13.25</v>
      </c>
      <c r="O808" s="1">
        <v>24.88</v>
      </c>
      <c r="P808" s="1">
        <v>39.06</v>
      </c>
      <c r="Q808" s="1">
        <v>5904.79</v>
      </c>
      <c r="R808" s="1">
        <v>64</v>
      </c>
      <c r="S808" s="1">
        <v>71.5</v>
      </c>
    </row>
    <row r="809" spans="1:19" ht="15">
      <c r="A809" s="1">
        <v>45</v>
      </c>
      <c r="B809" s="1" t="s">
        <v>70</v>
      </c>
      <c r="C809" s="1" t="s">
        <v>56</v>
      </c>
      <c r="D809" s="1">
        <v>2026</v>
      </c>
      <c r="E809" s="1" t="s">
        <v>21</v>
      </c>
      <c r="F809" s="1">
        <v>148102336</v>
      </c>
      <c r="G809" s="1">
        <v>72973525</v>
      </c>
      <c r="H809" s="1">
        <v>75128811</v>
      </c>
      <c r="I809" s="1">
        <v>11590536</v>
      </c>
      <c r="J809" s="1">
        <v>710593</v>
      </c>
      <c r="K809" s="1">
        <v>7.83</v>
      </c>
      <c r="L809" s="1">
        <v>29.3</v>
      </c>
      <c r="M809" s="1">
        <v>22.18</v>
      </c>
      <c r="N809" s="1">
        <v>13.45</v>
      </c>
      <c r="O809" s="1">
        <v>39.799999999999997</v>
      </c>
      <c r="P809" s="1">
        <v>34.770000000000003</v>
      </c>
      <c r="Q809" s="1">
        <v>4269.6099999999997</v>
      </c>
      <c r="R809" s="1">
        <v>57</v>
      </c>
      <c r="S809" s="1">
        <v>80.2</v>
      </c>
    </row>
    <row r="810" spans="1:19" ht="15">
      <c r="A810" s="1">
        <v>45</v>
      </c>
      <c r="B810" s="1" t="s">
        <v>70</v>
      </c>
      <c r="C810" s="1" t="s">
        <v>56</v>
      </c>
      <c r="D810" s="1">
        <v>2026</v>
      </c>
      <c r="E810" s="1" t="s">
        <v>22</v>
      </c>
      <c r="F810" s="1">
        <v>78543632</v>
      </c>
      <c r="G810" s="1">
        <v>37779132</v>
      </c>
      <c r="H810" s="1">
        <v>40764500</v>
      </c>
      <c r="I810" s="1">
        <v>5711074</v>
      </c>
      <c r="J810" s="1">
        <v>433208</v>
      </c>
      <c r="K810" s="1">
        <v>7.27</v>
      </c>
      <c r="L810" s="1">
        <v>10.8</v>
      </c>
      <c r="M810" s="1">
        <v>25.78</v>
      </c>
      <c r="N810" s="1">
        <v>9.8699999999999992</v>
      </c>
      <c r="O810" s="1">
        <v>28.62</v>
      </c>
      <c r="P810" s="1">
        <v>33.67</v>
      </c>
      <c r="Q810" s="1">
        <v>9783.76</v>
      </c>
      <c r="R810" s="1">
        <v>44</v>
      </c>
      <c r="S810" s="1">
        <v>61.9</v>
      </c>
    </row>
    <row r="811" spans="1:19" ht="15">
      <c r="A811" s="1">
        <v>45</v>
      </c>
      <c r="B811" s="1" t="s">
        <v>70</v>
      </c>
      <c r="C811" s="1" t="s">
        <v>56</v>
      </c>
      <c r="D811" s="1">
        <v>2026</v>
      </c>
      <c r="E811" s="1" t="s">
        <v>23</v>
      </c>
      <c r="F811" s="1">
        <v>133537792</v>
      </c>
      <c r="G811" s="1">
        <v>68566116</v>
      </c>
      <c r="H811" s="1">
        <v>64971676</v>
      </c>
      <c r="I811" s="1">
        <v>12244147</v>
      </c>
      <c r="J811" s="1">
        <v>673156</v>
      </c>
      <c r="K811" s="1">
        <v>9.17</v>
      </c>
      <c r="L811" s="1">
        <v>26.68</v>
      </c>
      <c r="M811" s="1">
        <v>14.91</v>
      </c>
      <c r="N811" s="1">
        <v>9.42</v>
      </c>
      <c r="O811" s="1">
        <v>29.88</v>
      </c>
      <c r="P811" s="1">
        <v>24.51</v>
      </c>
      <c r="Q811" s="1">
        <v>8743.66</v>
      </c>
      <c r="R811" s="1">
        <v>59</v>
      </c>
      <c r="S811" s="1">
        <v>63.4</v>
      </c>
    </row>
    <row r="812" spans="1:19" ht="15">
      <c r="A812" s="1">
        <v>46</v>
      </c>
      <c r="B812" s="1" t="s">
        <v>71</v>
      </c>
      <c r="C812" s="1" t="s">
        <v>56</v>
      </c>
      <c r="D812" s="1">
        <v>2021</v>
      </c>
      <c r="E812" s="1" t="s">
        <v>21</v>
      </c>
      <c r="F812" s="1">
        <v>194014415</v>
      </c>
      <c r="G812" s="1">
        <v>96878484</v>
      </c>
      <c r="H812" s="1">
        <v>97135931</v>
      </c>
      <c r="I812" s="1">
        <v>15660357</v>
      </c>
      <c r="J812" s="1">
        <v>519051</v>
      </c>
      <c r="K812" s="1">
        <v>8.07</v>
      </c>
      <c r="L812" s="1">
        <v>26.78</v>
      </c>
      <c r="M812" s="1">
        <v>12.81</v>
      </c>
      <c r="N812" s="1">
        <v>6.27</v>
      </c>
      <c r="O812" s="1">
        <v>22.31</v>
      </c>
      <c r="P812" s="1">
        <v>20.190000000000001</v>
      </c>
      <c r="Q812" s="1">
        <v>10831.21</v>
      </c>
      <c r="R812" s="1">
        <v>48</v>
      </c>
      <c r="S812" s="1">
        <v>69.099999999999994</v>
      </c>
    </row>
    <row r="813" spans="1:19" ht="15">
      <c r="A813" s="1">
        <v>46</v>
      </c>
      <c r="B813" s="1" t="s">
        <v>71</v>
      </c>
      <c r="C813" s="1" t="s">
        <v>56</v>
      </c>
      <c r="D813" s="1">
        <v>2021</v>
      </c>
      <c r="E813" s="1" t="s">
        <v>22</v>
      </c>
      <c r="F813" s="1">
        <v>60985927</v>
      </c>
      <c r="G813" s="1">
        <v>30507544</v>
      </c>
      <c r="H813" s="1">
        <v>30478383</v>
      </c>
      <c r="I813" s="1">
        <v>5616064</v>
      </c>
      <c r="J813" s="1">
        <v>434528</v>
      </c>
      <c r="K813" s="1">
        <v>9.2100000000000009</v>
      </c>
      <c r="L813" s="1">
        <v>17.649999999999999</v>
      </c>
      <c r="M813" s="1">
        <v>17.5</v>
      </c>
      <c r="N813" s="1">
        <v>6.78</v>
      </c>
      <c r="O813" s="1">
        <v>24.49</v>
      </c>
      <c r="P813" s="1">
        <v>30.97</v>
      </c>
      <c r="Q813" s="1">
        <v>5121.01</v>
      </c>
      <c r="R813" s="1">
        <v>77</v>
      </c>
      <c r="S813" s="1">
        <v>69.8</v>
      </c>
    </row>
    <row r="814" spans="1:19" ht="15">
      <c r="A814" s="1">
        <v>46</v>
      </c>
      <c r="B814" s="1" t="s">
        <v>71</v>
      </c>
      <c r="C814" s="1" t="s">
        <v>56</v>
      </c>
      <c r="D814" s="1">
        <v>2021</v>
      </c>
      <c r="E814" s="1" t="s">
        <v>23</v>
      </c>
      <c r="F814" s="1">
        <v>166476461</v>
      </c>
      <c r="G814" s="1">
        <v>85931724</v>
      </c>
      <c r="H814" s="1">
        <v>80544737</v>
      </c>
      <c r="I814" s="1">
        <v>13630665</v>
      </c>
      <c r="J814" s="1">
        <v>864530</v>
      </c>
      <c r="K814" s="1">
        <v>8.19</v>
      </c>
      <c r="L814" s="1">
        <v>17.12</v>
      </c>
      <c r="M814" s="1">
        <v>30.85</v>
      </c>
      <c r="N814" s="1">
        <v>13.24</v>
      </c>
      <c r="O814" s="1">
        <v>39.86</v>
      </c>
      <c r="P814" s="1">
        <v>38.659999999999997</v>
      </c>
      <c r="Q814" s="1">
        <v>7613.58</v>
      </c>
      <c r="R814" s="1">
        <v>80</v>
      </c>
      <c r="S814" s="1">
        <v>62</v>
      </c>
    </row>
    <row r="815" spans="1:19" ht="15">
      <c r="A815" s="1">
        <v>46</v>
      </c>
      <c r="B815" s="1" t="s">
        <v>71</v>
      </c>
      <c r="C815" s="1" t="s">
        <v>56</v>
      </c>
      <c r="D815" s="1">
        <v>2022</v>
      </c>
      <c r="E815" s="1" t="s">
        <v>21</v>
      </c>
      <c r="F815" s="1">
        <v>136984775</v>
      </c>
      <c r="G815" s="1">
        <v>66933211</v>
      </c>
      <c r="H815" s="1">
        <v>70051564</v>
      </c>
      <c r="I815" s="1">
        <v>12850647</v>
      </c>
      <c r="J815" s="1">
        <v>900864</v>
      </c>
      <c r="K815" s="1">
        <v>9.3800000000000008</v>
      </c>
      <c r="L815" s="1">
        <v>25.79</v>
      </c>
      <c r="M815" s="1">
        <v>12.44</v>
      </c>
      <c r="N815" s="1">
        <v>10.29</v>
      </c>
      <c r="O815" s="1">
        <v>39.340000000000003</v>
      </c>
      <c r="P815" s="1">
        <v>36.880000000000003</v>
      </c>
      <c r="Q815" s="1">
        <v>11958.8</v>
      </c>
      <c r="R815" s="1">
        <v>56</v>
      </c>
      <c r="S815" s="1">
        <v>77</v>
      </c>
    </row>
    <row r="816" spans="1:19" ht="15">
      <c r="A816" s="1">
        <v>46</v>
      </c>
      <c r="B816" s="1" t="s">
        <v>71</v>
      </c>
      <c r="C816" s="1" t="s">
        <v>56</v>
      </c>
      <c r="D816" s="1">
        <v>2022</v>
      </c>
      <c r="E816" s="1" t="s">
        <v>22</v>
      </c>
      <c r="F816" s="1">
        <v>128882622</v>
      </c>
      <c r="G816" s="1">
        <v>62492195</v>
      </c>
      <c r="H816" s="1">
        <v>66390427</v>
      </c>
      <c r="I816" s="1">
        <v>9070924</v>
      </c>
      <c r="J816" s="1">
        <v>628671</v>
      </c>
      <c r="K816" s="1">
        <v>7.04</v>
      </c>
      <c r="L816" s="1">
        <v>15.02</v>
      </c>
      <c r="M816" s="1">
        <v>20.64</v>
      </c>
      <c r="N816" s="1">
        <v>5.84</v>
      </c>
      <c r="O816" s="1">
        <v>28.59</v>
      </c>
      <c r="P816" s="1">
        <v>21.5</v>
      </c>
      <c r="Q816" s="1">
        <v>8230.4</v>
      </c>
      <c r="R816" s="1">
        <v>47</v>
      </c>
      <c r="S816" s="1">
        <v>77.7</v>
      </c>
    </row>
    <row r="817" spans="1:19" ht="15">
      <c r="A817" s="1">
        <v>46</v>
      </c>
      <c r="B817" s="1" t="s">
        <v>71</v>
      </c>
      <c r="C817" s="1" t="s">
        <v>56</v>
      </c>
      <c r="D817" s="1">
        <v>2022</v>
      </c>
      <c r="E817" s="1" t="s">
        <v>23</v>
      </c>
      <c r="F817" s="1">
        <v>184654831</v>
      </c>
      <c r="G817" s="1">
        <v>92404375</v>
      </c>
      <c r="H817" s="1">
        <v>92250456</v>
      </c>
      <c r="I817" s="1">
        <v>15100713</v>
      </c>
      <c r="J817" s="1">
        <v>825760</v>
      </c>
      <c r="K817" s="1">
        <v>8.18</v>
      </c>
      <c r="L817" s="1">
        <v>19</v>
      </c>
      <c r="M817" s="1">
        <v>33.369999999999997</v>
      </c>
      <c r="N817" s="1">
        <v>10.16</v>
      </c>
      <c r="O817" s="1">
        <v>28.72</v>
      </c>
      <c r="P817" s="1">
        <v>16.2</v>
      </c>
      <c r="Q817" s="1">
        <v>3219.93</v>
      </c>
      <c r="R817" s="1">
        <v>50</v>
      </c>
      <c r="S817" s="1">
        <v>61.5</v>
      </c>
    </row>
    <row r="818" spans="1:19" ht="15">
      <c r="A818" s="1">
        <v>46</v>
      </c>
      <c r="B818" s="1" t="s">
        <v>71</v>
      </c>
      <c r="C818" s="1" t="s">
        <v>56</v>
      </c>
      <c r="D818" s="1">
        <v>2023</v>
      </c>
      <c r="E818" s="1" t="s">
        <v>21</v>
      </c>
      <c r="F818" s="1">
        <v>168997693</v>
      </c>
      <c r="G818" s="1">
        <v>82497403</v>
      </c>
      <c r="H818" s="1">
        <v>86500290</v>
      </c>
      <c r="I818" s="1">
        <v>15835663</v>
      </c>
      <c r="J818" s="1">
        <v>1176936</v>
      </c>
      <c r="K818" s="1">
        <v>9.3699999999999992</v>
      </c>
      <c r="L818" s="1">
        <v>19.18</v>
      </c>
      <c r="M818" s="1">
        <v>26.68</v>
      </c>
      <c r="N818" s="1">
        <v>7.16</v>
      </c>
      <c r="O818" s="1">
        <v>30.93</v>
      </c>
      <c r="P818" s="1">
        <v>26.86</v>
      </c>
      <c r="Q818" s="1">
        <v>8689.02</v>
      </c>
      <c r="R818" s="1">
        <v>65</v>
      </c>
      <c r="S818" s="1">
        <v>64.8</v>
      </c>
    </row>
    <row r="819" spans="1:19" ht="15">
      <c r="A819" s="1">
        <v>46</v>
      </c>
      <c r="B819" s="1" t="s">
        <v>71</v>
      </c>
      <c r="C819" s="1" t="s">
        <v>56</v>
      </c>
      <c r="D819" s="1">
        <v>2023</v>
      </c>
      <c r="E819" s="1" t="s">
        <v>22</v>
      </c>
      <c r="F819" s="1">
        <v>159502905</v>
      </c>
      <c r="G819" s="1">
        <v>82608734</v>
      </c>
      <c r="H819" s="1">
        <v>76894171</v>
      </c>
      <c r="I819" s="1">
        <v>14238081</v>
      </c>
      <c r="J819" s="1">
        <v>708000</v>
      </c>
      <c r="K819" s="1">
        <v>8.93</v>
      </c>
      <c r="L819" s="1">
        <v>29.73</v>
      </c>
      <c r="M819" s="1">
        <v>19.739999999999998</v>
      </c>
      <c r="N819" s="1">
        <v>12.11</v>
      </c>
      <c r="O819" s="1">
        <v>23.04</v>
      </c>
      <c r="P819" s="1">
        <v>39.76</v>
      </c>
      <c r="Q819" s="1">
        <v>11676.89</v>
      </c>
      <c r="R819" s="1">
        <v>41</v>
      </c>
      <c r="S819" s="1">
        <v>78</v>
      </c>
    </row>
    <row r="820" spans="1:19" ht="15">
      <c r="A820" s="1">
        <v>46</v>
      </c>
      <c r="B820" s="1" t="s">
        <v>71</v>
      </c>
      <c r="C820" s="1" t="s">
        <v>56</v>
      </c>
      <c r="D820" s="1">
        <v>2023</v>
      </c>
      <c r="E820" s="1" t="s">
        <v>23</v>
      </c>
      <c r="F820" s="1">
        <v>197788162</v>
      </c>
      <c r="G820" s="1">
        <v>95500180</v>
      </c>
      <c r="H820" s="1">
        <v>102287982</v>
      </c>
      <c r="I820" s="1">
        <v>12875982</v>
      </c>
      <c r="J820" s="1">
        <v>402227</v>
      </c>
      <c r="K820" s="1">
        <v>6.51</v>
      </c>
      <c r="L820" s="1">
        <v>20.21</v>
      </c>
      <c r="M820" s="1">
        <v>25.48</v>
      </c>
      <c r="N820" s="1">
        <v>14.78</v>
      </c>
      <c r="O820" s="1">
        <v>25.71</v>
      </c>
      <c r="P820" s="1">
        <v>29.94</v>
      </c>
      <c r="Q820" s="1">
        <v>11899.6</v>
      </c>
      <c r="R820" s="1">
        <v>75</v>
      </c>
      <c r="S820" s="1">
        <v>79.400000000000006</v>
      </c>
    </row>
    <row r="821" spans="1:19" ht="15">
      <c r="A821" s="1">
        <v>46</v>
      </c>
      <c r="B821" s="1" t="s">
        <v>71</v>
      </c>
      <c r="C821" s="1" t="s">
        <v>56</v>
      </c>
      <c r="D821" s="1">
        <v>2024</v>
      </c>
      <c r="E821" s="1" t="s">
        <v>21</v>
      </c>
      <c r="F821" s="1">
        <v>23143747</v>
      </c>
      <c r="G821" s="1">
        <v>11144020</v>
      </c>
      <c r="H821" s="1">
        <v>11999727</v>
      </c>
      <c r="I821" s="1">
        <v>1861611</v>
      </c>
      <c r="J821" s="1">
        <v>103093</v>
      </c>
      <c r="K821" s="1">
        <v>8.0399999999999991</v>
      </c>
      <c r="L821" s="1">
        <v>20.190000000000001</v>
      </c>
      <c r="M821" s="1">
        <v>26.17</v>
      </c>
      <c r="N821" s="1">
        <v>6.14</v>
      </c>
      <c r="O821" s="1">
        <v>32.01</v>
      </c>
      <c r="P821" s="1">
        <v>18.690000000000001</v>
      </c>
      <c r="Q821" s="1">
        <v>6094.84</v>
      </c>
      <c r="R821" s="1">
        <v>82</v>
      </c>
      <c r="S821" s="1">
        <v>72.8</v>
      </c>
    </row>
    <row r="822" spans="1:19" ht="15">
      <c r="A822" s="1">
        <v>46</v>
      </c>
      <c r="B822" s="1" t="s">
        <v>71</v>
      </c>
      <c r="C822" s="1" t="s">
        <v>56</v>
      </c>
      <c r="D822" s="1">
        <v>2024</v>
      </c>
      <c r="E822" s="1" t="s">
        <v>22</v>
      </c>
      <c r="F822" s="1">
        <v>123636959</v>
      </c>
      <c r="G822" s="1">
        <v>60073018</v>
      </c>
      <c r="H822" s="1">
        <v>63563941</v>
      </c>
      <c r="I822" s="1">
        <v>12321055</v>
      </c>
      <c r="J822" s="1">
        <v>881877</v>
      </c>
      <c r="K822" s="1">
        <v>9.9700000000000006</v>
      </c>
      <c r="L822" s="1">
        <v>10.54</v>
      </c>
      <c r="M822" s="1">
        <v>31.5</v>
      </c>
      <c r="N822" s="1">
        <v>10.07</v>
      </c>
      <c r="O822" s="1">
        <v>39.97</v>
      </c>
      <c r="P822" s="1">
        <v>25.78</v>
      </c>
      <c r="Q822" s="1">
        <v>660.45</v>
      </c>
      <c r="R822" s="1">
        <v>76</v>
      </c>
      <c r="S822" s="1">
        <v>78.2</v>
      </c>
    </row>
    <row r="823" spans="1:19" ht="15">
      <c r="A823" s="1">
        <v>46</v>
      </c>
      <c r="B823" s="1" t="s">
        <v>71</v>
      </c>
      <c r="C823" s="1" t="s">
        <v>56</v>
      </c>
      <c r="D823" s="1">
        <v>2024</v>
      </c>
      <c r="E823" s="1" t="s">
        <v>23</v>
      </c>
      <c r="F823" s="1">
        <v>92900869</v>
      </c>
      <c r="G823" s="1">
        <v>44992541</v>
      </c>
      <c r="H823" s="1">
        <v>47908328</v>
      </c>
      <c r="I823" s="1">
        <v>5327569</v>
      </c>
      <c r="J823" s="1">
        <v>330596</v>
      </c>
      <c r="K823" s="1">
        <v>5.73</v>
      </c>
      <c r="L823" s="1">
        <v>24.44</v>
      </c>
      <c r="M823" s="1">
        <v>13.5</v>
      </c>
      <c r="N823" s="1">
        <v>5.6</v>
      </c>
      <c r="O823" s="1">
        <v>24.29</v>
      </c>
      <c r="P823" s="1">
        <v>17.739999999999998</v>
      </c>
      <c r="Q823" s="1">
        <v>5043.5</v>
      </c>
      <c r="R823" s="1">
        <v>61</v>
      </c>
      <c r="S823" s="1">
        <v>72.5</v>
      </c>
    </row>
    <row r="824" spans="1:19" ht="15">
      <c r="A824" s="1">
        <v>46</v>
      </c>
      <c r="B824" s="1" t="s">
        <v>71</v>
      </c>
      <c r="C824" s="1" t="s">
        <v>56</v>
      </c>
      <c r="D824" s="1">
        <v>2025</v>
      </c>
      <c r="E824" s="1" t="s">
        <v>21</v>
      </c>
      <c r="F824" s="1">
        <v>14693580</v>
      </c>
      <c r="G824" s="1">
        <v>7567095</v>
      </c>
      <c r="H824" s="1">
        <v>7126485</v>
      </c>
      <c r="I824" s="1">
        <v>1431345</v>
      </c>
      <c r="J824" s="1">
        <v>69799</v>
      </c>
      <c r="K824" s="1">
        <v>9.74</v>
      </c>
      <c r="L824" s="1">
        <v>13.41</v>
      </c>
      <c r="M824" s="1">
        <v>30.58</v>
      </c>
      <c r="N824" s="1">
        <v>7.25</v>
      </c>
      <c r="O824" s="1">
        <v>34.770000000000003</v>
      </c>
      <c r="P824" s="1">
        <v>35.520000000000003</v>
      </c>
      <c r="Q824" s="1">
        <v>1344.49</v>
      </c>
      <c r="R824" s="1">
        <v>49</v>
      </c>
      <c r="S824" s="1">
        <v>60.9</v>
      </c>
    </row>
    <row r="825" spans="1:19" ht="15">
      <c r="A825" s="1">
        <v>46</v>
      </c>
      <c r="B825" s="1" t="s">
        <v>71</v>
      </c>
      <c r="C825" s="1" t="s">
        <v>56</v>
      </c>
      <c r="D825" s="1">
        <v>2025</v>
      </c>
      <c r="E825" s="1" t="s">
        <v>22</v>
      </c>
      <c r="F825" s="1">
        <v>34202497</v>
      </c>
      <c r="G825" s="1">
        <v>16502570</v>
      </c>
      <c r="H825" s="1">
        <v>17699927</v>
      </c>
      <c r="I825" s="1">
        <v>1981148</v>
      </c>
      <c r="J825" s="1">
        <v>155056</v>
      </c>
      <c r="K825" s="1">
        <v>5.79</v>
      </c>
      <c r="L825" s="1">
        <v>21.15</v>
      </c>
      <c r="M825" s="1">
        <v>11.46</v>
      </c>
      <c r="N825" s="1">
        <v>5.32</v>
      </c>
      <c r="O825" s="1">
        <v>37.51</v>
      </c>
      <c r="P825" s="1">
        <v>23.8</v>
      </c>
      <c r="Q825" s="1">
        <v>3208.95</v>
      </c>
      <c r="R825" s="1">
        <v>50</v>
      </c>
      <c r="S825" s="1">
        <v>70.2</v>
      </c>
    </row>
    <row r="826" spans="1:19" ht="15">
      <c r="A826" s="1">
        <v>46</v>
      </c>
      <c r="B826" s="1" t="s">
        <v>71</v>
      </c>
      <c r="C826" s="1" t="s">
        <v>56</v>
      </c>
      <c r="D826" s="1">
        <v>2025</v>
      </c>
      <c r="E826" s="1" t="s">
        <v>23</v>
      </c>
      <c r="F826" s="1">
        <v>21914838</v>
      </c>
      <c r="G826" s="1">
        <v>10748515</v>
      </c>
      <c r="H826" s="1">
        <v>11166323</v>
      </c>
      <c r="I826" s="1">
        <v>1182507</v>
      </c>
      <c r="J826" s="1">
        <v>42584</v>
      </c>
      <c r="K826" s="1">
        <v>5.4</v>
      </c>
      <c r="L826" s="1">
        <v>28.07</v>
      </c>
      <c r="M826" s="1">
        <v>19.100000000000001</v>
      </c>
      <c r="N826" s="1">
        <v>9.43</v>
      </c>
      <c r="O826" s="1">
        <v>24.28</v>
      </c>
      <c r="P826" s="1">
        <v>18.62</v>
      </c>
      <c r="Q826" s="1">
        <v>9316.66</v>
      </c>
      <c r="R826" s="1">
        <v>68</v>
      </c>
      <c r="S826" s="1">
        <v>64.8</v>
      </c>
    </row>
    <row r="827" spans="1:19" ht="15">
      <c r="A827" s="1">
        <v>46</v>
      </c>
      <c r="B827" s="1" t="s">
        <v>71</v>
      </c>
      <c r="C827" s="1" t="s">
        <v>56</v>
      </c>
      <c r="D827" s="1">
        <v>2026</v>
      </c>
      <c r="E827" s="1" t="s">
        <v>21</v>
      </c>
      <c r="F827" s="1">
        <v>59643893</v>
      </c>
      <c r="G827" s="1">
        <v>29406210</v>
      </c>
      <c r="H827" s="1">
        <v>30237683</v>
      </c>
      <c r="I827" s="1">
        <v>3307084</v>
      </c>
      <c r="J827" s="1">
        <v>148435</v>
      </c>
      <c r="K827" s="1">
        <v>5.54</v>
      </c>
      <c r="L827" s="1">
        <v>20.7</v>
      </c>
      <c r="M827" s="1">
        <v>13.6</v>
      </c>
      <c r="N827" s="1">
        <v>10.74</v>
      </c>
      <c r="O827" s="1">
        <v>31.68</v>
      </c>
      <c r="P827" s="1">
        <v>26.83</v>
      </c>
      <c r="Q827" s="1">
        <v>3650.45</v>
      </c>
      <c r="R827" s="1">
        <v>44</v>
      </c>
      <c r="S827" s="1">
        <v>77</v>
      </c>
    </row>
    <row r="828" spans="1:19" ht="15">
      <c r="A828" s="1">
        <v>46</v>
      </c>
      <c r="B828" s="1" t="s">
        <v>71</v>
      </c>
      <c r="C828" s="1" t="s">
        <v>56</v>
      </c>
      <c r="D828" s="1">
        <v>2026</v>
      </c>
      <c r="E828" s="1" t="s">
        <v>22</v>
      </c>
      <c r="F828" s="1">
        <v>36772436</v>
      </c>
      <c r="G828" s="1">
        <v>18118181</v>
      </c>
      <c r="H828" s="1">
        <v>18654255</v>
      </c>
      <c r="I828" s="1">
        <v>1923496</v>
      </c>
      <c r="J828" s="1">
        <v>150714</v>
      </c>
      <c r="K828" s="1">
        <v>5.23</v>
      </c>
      <c r="L828" s="1">
        <v>26.1</v>
      </c>
      <c r="M828" s="1">
        <v>32.340000000000003</v>
      </c>
      <c r="N828" s="1">
        <v>11.42</v>
      </c>
      <c r="O828" s="1">
        <v>20.58</v>
      </c>
      <c r="P828" s="1">
        <v>26.88</v>
      </c>
      <c r="Q828" s="1">
        <v>1030.3699999999999</v>
      </c>
      <c r="R828" s="1">
        <v>78</v>
      </c>
      <c r="S828" s="1">
        <v>64</v>
      </c>
    </row>
    <row r="829" spans="1:19" ht="15">
      <c r="A829" s="1">
        <v>46</v>
      </c>
      <c r="B829" s="1" t="s">
        <v>71</v>
      </c>
      <c r="C829" s="1" t="s">
        <v>56</v>
      </c>
      <c r="D829" s="1">
        <v>2026</v>
      </c>
      <c r="E829" s="1" t="s">
        <v>23</v>
      </c>
      <c r="F829" s="1">
        <v>59335112</v>
      </c>
      <c r="G829" s="1">
        <v>29576384</v>
      </c>
      <c r="H829" s="1">
        <v>29758728</v>
      </c>
      <c r="I829" s="1">
        <v>4293039</v>
      </c>
      <c r="J829" s="1">
        <v>162100</v>
      </c>
      <c r="K829" s="1">
        <v>7.24</v>
      </c>
      <c r="L829" s="1">
        <v>27.6</v>
      </c>
      <c r="M829" s="1">
        <v>18.510000000000002</v>
      </c>
      <c r="N829" s="1">
        <v>13.97</v>
      </c>
      <c r="O829" s="1">
        <v>27.31</v>
      </c>
      <c r="P829" s="1">
        <v>39.729999999999997</v>
      </c>
      <c r="Q829" s="1">
        <v>529.36</v>
      </c>
      <c r="R829" s="1">
        <v>42</v>
      </c>
      <c r="S829" s="1">
        <v>72.8</v>
      </c>
    </row>
    <row r="830" spans="1:19" ht="15">
      <c r="A830" s="1">
        <v>47</v>
      </c>
      <c r="B830" s="1" t="s">
        <v>72</v>
      </c>
      <c r="C830" s="1" t="s">
        <v>56</v>
      </c>
      <c r="D830" s="1">
        <v>2021</v>
      </c>
      <c r="E830" s="1" t="s">
        <v>21</v>
      </c>
      <c r="F830" s="1">
        <v>112387793</v>
      </c>
      <c r="G830" s="1">
        <v>57193448</v>
      </c>
      <c r="H830" s="1">
        <v>55194345</v>
      </c>
      <c r="I830" s="1">
        <v>9333687</v>
      </c>
      <c r="J830" s="1">
        <v>738187</v>
      </c>
      <c r="K830" s="1">
        <v>8.3000000000000007</v>
      </c>
      <c r="L830" s="1">
        <v>12.7</v>
      </c>
      <c r="M830" s="1">
        <v>13.44</v>
      </c>
      <c r="N830" s="1">
        <v>7.9</v>
      </c>
      <c r="O830" s="1">
        <v>36.4</v>
      </c>
      <c r="P830" s="1">
        <v>22.44</v>
      </c>
      <c r="Q830" s="1">
        <v>8802.5499999999993</v>
      </c>
      <c r="R830" s="1">
        <v>81</v>
      </c>
      <c r="S830" s="1">
        <v>75.2</v>
      </c>
    </row>
    <row r="831" spans="1:19" ht="15">
      <c r="A831" s="1">
        <v>47</v>
      </c>
      <c r="B831" s="1" t="s">
        <v>72</v>
      </c>
      <c r="C831" s="1" t="s">
        <v>56</v>
      </c>
      <c r="D831" s="1">
        <v>2021</v>
      </c>
      <c r="E831" s="1" t="s">
        <v>22</v>
      </c>
      <c r="F831" s="1">
        <v>9013646</v>
      </c>
      <c r="G831" s="1">
        <v>4335554</v>
      </c>
      <c r="H831" s="1">
        <v>4678092</v>
      </c>
      <c r="I831" s="1">
        <v>527862</v>
      </c>
      <c r="J831" s="1">
        <v>40633</v>
      </c>
      <c r="K831" s="1">
        <v>5.86</v>
      </c>
      <c r="L831" s="1">
        <v>10.84</v>
      </c>
      <c r="M831" s="1">
        <v>17.079999999999998</v>
      </c>
      <c r="N831" s="1">
        <v>5.82</v>
      </c>
      <c r="O831" s="1">
        <v>27.37</v>
      </c>
      <c r="P831" s="1">
        <v>18.98</v>
      </c>
      <c r="Q831" s="1">
        <v>5839.9</v>
      </c>
      <c r="R831" s="1">
        <v>65</v>
      </c>
      <c r="S831" s="1">
        <v>80.900000000000006</v>
      </c>
    </row>
    <row r="832" spans="1:19" ht="15">
      <c r="A832" s="1">
        <v>47</v>
      </c>
      <c r="B832" s="1" t="s">
        <v>72</v>
      </c>
      <c r="C832" s="1" t="s">
        <v>56</v>
      </c>
      <c r="D832" s="1">
        <v>2021</v>
      </c>
      <c r="E832" s="1" t="s">
        <v>23</v>
      </c>
      <c r="F832" s="1">
        <v>7555217</v>
      </c>
      <c r="G832" s="1">
        <v>3914958</v>
      </c>
      <c r="H832" s="1">
        <v>3640259</v>
      </c>
      <c r="I832" s="1">
        <v>418059</v>
      </c>
      <c r="J832" s="1">
        <v>24707</v>
      </c>
      <c r="K832" s="1">
        <v>5.53</v>
      </c>
      <c r="L832" s="1">
        <v>26.06</v>
      </c>
      <c r="M832" s="1">
        <v>25.61</v>
      </c>
      <c r="N832" s="1">
        <v>10.06</v>
      </c>
      <c r="O832" s="1">
        <v>22.04</v>
      </c>
      <c r="P832" s="1">
        <v>23.19</v>
      </c>
      <c r="Q832" s="1">
        <v>11615.27</v>
      </c>
      <c r="R832" s="1">
        <v>69</v>
      </c>
      <c r="S832" s="1">
        <v>71.099999999999994</v>
      </c>
    </row>
    <row r="833" spans="1:19" ht="15">
      <c r="A833" s="1">
        <v>47</v>
      </c>
      <c r="B833" s="1" t="s">
        <v>72</v>
      </c>
      <c r="C833" s="1" t="s">
        <v>56</v>
      </c>
      <c r="D833" s="1">
        <v>2022</v>
      </c>
      <c r="E833" s="1" t="s">
        <v>21</v>
      </c>
      <c r="F833" s="1">
        <v>13389018</v>
      </c>
      <c r="G833" s="1">
        <v>6769160</v>
      </c>
      <c r="H833" s="1">
        <v>6619858</v>
      </c>
      <c r="I833" s="1">
        <v>712180</v>
      </c>
      <c r="J833" s="1">
        <v>26442</v>
      </c>
      <c r="K833" s="1">
        <v>5.32</v>
      </c>
      <c r="L833" s="1">
        <v>14.62</v>
      </c>
      <c r="M833" s="1">
        <v>11.96</v>
      </c>
      <c r="N833" s="1">
        <v>6.88</v>
      </c>
      <c r="O833" s="1">
        <v>23.45</v>
      </c>
      <c r="P833" s="1">
        <v>27.27</v>
      </c>
      <c r="Q833" s="1">
        <v>3678.55</v>
      </c>
      <c r="R833" s="1">
        <v>44</v>
      </c>
      <c r="S833" s="1">
        <v>81.599999999999994</v>
      </c>
    </row>
    <row r="834" spans="1:19" ht="15">
      <c r="A834" s="1">
        <v>47</v>
      </c>
      <c r="B834" s="1" t="s">
        <v>72</v>
      </c>
      <c r="C834" s="1" t="s">
        <v>56</v>
      </c>
      <c r="D834" s="1">
        <v>2022</v>
      </c>
      <c r="E834" s="1" t="s">
        <v>22</v>
      </c>
      <c r="F834" s="1">
        <v>110693665</v>
      </c>
      <c r="G834" s="1">
        <v>55281745</v>
      </c>
      <c r="H834" s="1">
        <v>55411920</v>
      </c>
      <c r="I834" s="1">
        <v>9532474</v>
      </c>
      <c r="J834" s="1">
        <v>457025</v>
      </c>
      <c r="K834" s="1">
        <v>8.61</v>
      </c>
      <c r="L834" s="1">
        <v>26.57</v>
      </c>
      <c r="M834" s="1">
        <v>21.77</v>
      </c>
      <c r="N834" s="1">
        <v>7.14</v>
      </c>
      <c r="O834" s="1">
        <v>25.41</v>
      </c>
      <c r="P834" s="1">
        <v>32.57</v>
      </c>
      <c r="Q834" s="1">
        <v>11627.99</v>
      </c>
      <c r="R834" s="1">
        <v>59</v>
      </c>
      <c r="S834" s="1">
        <v>71.599999999999994</v>
      </c>
    </row>
    <row r="835" spans="1:19" ht="15">
      <c r="A835" s="1">
        <v>47</v>
      </c>
      <c r="B835" s="1" t="s">
        <v>72</v>
      </c>
      <c r="C835" s="1" t="s">
        <v>56</v>
      </c>
      <c r="D835" s="1">
        <v>2022</v>
      </c>
      <c r="E835" s="1" t="s">
        <v>23</v>
      </c>
      <c r="F835" s="1">
        <v>196707413</v>
      </c>
      <c r="G835" s="1">
        <v>97266064</v>
      </c>
      <c r="H835" s="1">
        <v>99441349</v>
      </c>
      <c r="I835" s="1">
        <v>12344374</v>
      </c>
      <c r="J835" s="1">
        <v>774767</v>
      </c>
      <c r="K835" s="1">
        <v>6.28</v>
      </c>
      <c r="L835" s="1">
        <v>14.72</v>
      </c>
      <c r="M835" s="1">
        <v>12.01</v>
      </c>
      <c r="N835" s="1">
        <v>9.58</v>
      </c>
      <c r="O835" s="1">
        <v>20</v>
      </c>
      <c r="P835" s="1">
        <v>24.99</v>
      </c>
      <c r="Q835" s="1">
        <v>7651.19</v>
      </c>
      <c r="R835" s="1">
        <v>77</v>
      </c>
      <c r="S835" s="1">
        <v>65.400000000000006</v>
      </c>
    </row>
    <row r="836" spans="1:19" ht="15">
      <c r="A836" s="1">
        <v>47</v>
      </c>
      <c r="B836" s="1" t="s">
        <v>72</v>
      </c>
      <c r="C836" s="1" t="s">
        <v>56</v>
      </c>
      <c r="D836" s="1">
        <v>2023</v>
      </c>
      <c r="E836" s="1" t="s">
        <v>21</v>
      </c>
      <c r="F836" s="1">
        <v>24481978</v>
      </c>
      <c r="G836" s="1">
        <v>12257632</v>
      </c>
      <c r="H836" s="1">
        <v>12224346</v>
      </c>
      <c r="I836" s="1">
        <v>2287151</v>
      </c>
      <c r="J836" s="1">
        <v>149064</v>
      </c>
      <c r="K836" s="1">
        <v>9.34</v>
      </c>
      <c r="L836" s="1">
        <v>25.24</v>
      </c>
      <c r="M836" s="1">
        <v>29.22</v>
      </c>
      <c r="N836" s="1">
        <v>7.92</v>
      </c>
      <c r="O836" s="1">
        <v>37.44</v>
      </c>
      <c r="P836" s="1">
        <v>26.28</v>
      </c>
      <c r="Q836" s="1">
        <v>11479.37</v>
      </c>
      <c r="R836" s="1">
        <v>40</v>
      </c>
      <c r="S836" s="1">
        <v>65</v>
      </c>
    </row>
    <row r="837" spans="1:19" ht="15">
      <c r="A837" s="1">
        <v>47</v>
      </c>
      <c r="B837" s="1" t="s">
        <v>72</v>
      </c>
      <c r="C837" s="1" t="s">
        <v>56</v>
      </c>
      <c r="D837" s="1">
        <v>2023</v>
      </c>
      <c r="E837" s="1" t="s">
        <v>22</v>
      </c>
      <c r="F837" s="1">
        <v>166349822</v>
      </c>
      <c r="G837" s="1">
        <v>83171230</v>
      </c>
      <c r="H837" s="1">
        <v>83178592</v>
      </c>
      <c r="I837" s="1">
        <v>12569761</v>
      </c>
      <c r="J837" s="1">
        <v>960548</v>
      </c>
      <c r="K837" s="1">
        <v>7.56</v>
      </c>
      <c r="L837" s="1">
        <v>21.66</v>
      </c>
      <c r="M837" s="1">
        <v>24.8</v>
      </c>
      <c r="N837" s="1">
        <v>10.220000000000001</v>
      </c>
      <c r="O837" s="1">
        <v>20.04</v>
      </c>
      <c r="P837" s="1">
        <v>39.630000000000003</v>
      </c>
      <c r="Q837" s="1">
        <v>4653.6899999999996</v>
      </c>
      <c r="R837" s="1">
        <v>43</v>
      </c>
      <c r="S837" s="1">
        <v>68.599999999999994</v>
      </c>
    </row>
    <row r="838" spans="1:19" ht="15">
      <c r="A838" s="1">
        <v>47</v>
      </c>
      <c r="B838" s="1" t="s">
        <v>72</v>
      </c>
      <c r="C838" s="1" t="s">
        <v>56</v>
      </c>
      <c r="D838" s="1">
        <v>2023</v>
      </c>
      <c r="E838" s="1" t="s">
        <v>23</v>
      </c>
      <c r="F838" s="1">
        <v>65695520</v>
      </c>
      <c r="G838" s="1">
        <v>33798082</v>
      </c>
      <c r="H838" s="1">
        <v>31897438</v>
      </c>
      <c r="I838" s="1">
        <v>3619597</v>
      </c>
      <c r="J838" s="1">
        <v>131845</v>
      </c>
      <c r="K838" s="1">
        <v>5.51</v>
      </c>
      <c r="L838" s="1">
        <v>23.93</v>
      </c>
      <c r="M838" s="1">
        <v>28.82</v>
      </c>
      <c r="N838" s="1">
        <v>6.16</v>
      </c>
      <c r="O838" s="1">
        <v>23.09</v>
      </c>
      <c r="P838" s="1">
        <v>29.52</v>
      </c>
      <c r="Q838" s="1">
        <v>7694.43</v>
      </c>
      <c r="R838" s="1">
        <v>75</v>
      </c>
      <c r="S838" s="1">
        <v>64.5</v>
      </c>
    </row>
    <row r="839" spans="1:19" ht="15">
      <c r="A839" s="1">
        <v>47</v>
      </c>
      <c r="B839" s="1" t="s">
        <v>72</v>
      </c>
      <c r="C839" s="1" t="s">
        <v>56</v>
      </c>
      <c r="D839" s="1">
        <v>2024</v>
      </c>
      <c r="E839" s="1" t="s">
        <v>21</v>
      </c>
      <c r="F839" s="1">
        <v>110818012</v>
      </c>
      <c r="G839" s="1">
        <v>54690225</v>
      </c>
      <c r="H839" s="1">
        <v>56127787</v>
      </c>
      <c r="I839" s="1">
        <v>7604862</v>
      </c>
      <c r="J839" s="1">
        <v>335033</v>
      </c>
      <c r="K839" s="1">
        <v>6.86</v>
      </c>
      <c r="L839" s="1">
        <v>24.28</v>
      </c>
      <c r="M839" s="1">
        <v>23.67</v>
      </c>
      <c r="N839" s="1">
        <v>12.33</v>
      </c>
      <c r="O839" s="1">
        <v>32.049999999999997</v>
      </c>
      <c r="P839" s="1">
        <v>17.11</v>
      </c>
      <c r="Q839" s="1">
        <v>7796.46</v>
      </c>
      <c r="R839" s="1">
        <v>79</v>
      </c>
      <c r="S839" s="1">
        <v>63.7</v>
      </c>
    </row>
    <row r="840" spans="1:19" ht="15">
      <c r="A840" s="1">
        <v>47</v>
      </c>
      <c r="B840" s="1" t="s">
        <v>72</v>
      </c>
      <c r="C840" s="1" t="s">
        <v>56</v>
      </c>
      <c r="D840" s="1">
        <v>2024</v>
      </c>
      <c r="E840" s="1" t="s">
        <v>22</v>
      </c>
      <c r="F840" s="1">
        <v>28227955</v>
      </c>
      <c r="G840" s="1">
        <v>14179220</v>
      </c>
      <c r="H840" s="1">
        <v>14048735</v>
      </c>
      <c r="I840" s="1">
        <v>2149502</v>
      </c>
      <c r="J840" s="1">
        <v>100789</v>
      </c>
      <c r="K840" s="1">
        <v>7.61</v>
      </c>
      <c r="L840" s="1">
        <v>23.35</v>
      </c>
      <c r="M840" s="1">
        <v>17.420000000000002</v>
      </c>
      <c r="N840" s="1">
        <v>5.93</v>
      </c>
      <c r="O840" s="1">
        <v>26.62</v>
      </c>
      <c r="P840" s="1">
        <v>24.95</v>
      </c>
      <c r="Q840" s="1">
        <v>6649.31</v>
      </c>
      <c r="R840" s="1">
        <v>48</v>
      </c>
      <c r="S840" s="1">
        <v>65.2</v>
      </c>
    </row>
    <row r="841" spans="1:19" ht="15">
      <c r="A841" s="1">
        <v>47</v>
      </c>
      <c r="B841" s="1" t="s">
        <v>72</v>
      </c>
      <c r="C841" s="1" t="s">
        <v>56</v>
      </c>
      <c r="D841" s="1">
        <v>2024</v>
      </c>
      <c r="E841" s="1" t="s">
        <v>23</v>
      </c>
      <c r="F841" s="1">
        <v>119962122</v>
      </c>
      <c r="G841" s="1">
        <v>62174111</v>
      </c>
      <c r="H841" s="1">
        <v>57788011</v>
      </c>
      <c r="I841" s="1">
        <v>6595279</v>
      </c>
      <c r="J841" s="1">
        <v>509997</v>
      </c>
      <c r="K841" s="1">
        <v>5.5</v>
      </c>
      <c r="L841" s="1">
        <v>15.17</v>
      </c>
      <c r="M841" s="1">
        <v>19.72</v>
      </c>
      <c r="N841" s="1">
        <v>11.9</v>
      </c>
      <c r="O841" s="1">
        <v>25.76</v>
      </c>
      <c r="P841" s="1">
        <v>22.29</v>
      </c>
      <c r="Q841" s="1">
        <v>1025.43</v>
      </c>
      <c r="R841" s="1">
        <v>75</v>
      </c>
      <c r="S841" s="1">
        <v>76.5</v>
      </c>
    </row>
    <row r="842" spans="1:19" ht="15">
      <c r="A842" s="1">
        <v>47</v>
      </c>
      <c r="B842" s="1" t="s">
        <v>72</v>
      </c>
      <c r="C842" s="1" t="s">
        <v>56</v>
      </c>
      <c r="D842" s="1">
        <v>2025</v>
      </c>
      <c r="E842" s="1" t="s">
        <v>21</v>
      </c>
      <c r="F842" s="1">
        <v>154559745</v>
      </c>
      <c r="G842" s="1">
        <v>79288938</v>
      </c>
      <c r="H842" s="1">
        <v>75270807</v>
      </c>
      <c r="I842" s="1">
        <v>15400772</v>
      </c>
      <c r="J842" s="1">
        <v>1168489</v>
      </c>
      <c r="K842" s="1">
        <v>9.9600000000000009</v>
      </c>
      <c r="L842" s="1">
        <v>19.7</v>
      </c>
      <c r="M842" s="1">
        <v>28.8</v>
      </c>
      <c r="N842" s="1">
        <v>8.1999999999999993</v>
      </c>
      <c r="O842" s="1">
        <v>37.5</v>
      </c>
      <c r="P842" s="1">
        <v>17.72</v>
      </c>
      <c r="Q842" s="1">
        <v>6374.88</v>
      </c>
      <c r="R842" s="1">
        <v>59</v>
      </c>
      <c r="S842" s="1">
        <v>71.599999999999994</v>
      </c>
    </row>
    <row r="843" spans="1:19" ht="15">
      <c r="A843" s="1">
        <v>47</v>
      </c>
      <c r="B843" s="1" t="s">
        <v>72</v>
      </c>
      <c r="C843" s="1" t="s">
        <v>56</v>
      </c>
      <c r="D843" s="1">
        <v>2025</v>
      </c>
      <c r="E843" s="1" t="s">
        <v>22</v>
      </c>
      <c r="F843" s="1">
        <v>136919294</v>
      </c>
      <c r="G843" s="1">
        <v>70262024</v>
      </c>
      <c r="H843" s="1">
        <v>66657270</v>
      </c>
      <c r="I843" s="1">
        <v>12520072</v>
      </c>
      <c r="J843" s="1">
        <v>919497</v>
      </c>
      <c r="K843" s="1">
        <v>9.14</v>
      </c>
      <c r="L843" s="1">
        <v>25.1</v>
      </c>
      <c r="M843" s="1">
        <v>22.01</v>
      </c>
      <c r="N843" s="1">
        <v>6.64</v>
      </c>
      <c r="O843" s="1">
        <v>24.91</v>
      </c>
      <c r="P843" s="1">
        <v>24.82</v>
      </c>
      <c r="Q843" s="1">
        <v>6983.24</v>
      </c>
      <c r="R843" s="1">
        <v>82</v>
      </c>
      <c r="S843" s="1">
        <v>82.1</v>
      </c>
    </row>
    <row r="844" spans="1:19" ht="15">
      <c r="A844" s="1">
        <v>47</v>
      </c>
      <c r="B844" s="1" t="s">
        <v>72</v>
      </c>
      <c r="C844" s="1" t="s">
        <v>56</v>
      </c>
      <c r="D844" s="1">
        <v>2025</v>
      </c>
      <c r="E844" s="1" t="s">
        <v>23</v>
      </c>
      <c r="F844" s="1">
        <v>95295264</v>
      </c>
      <c r="G844" s="1">
        <v>49204961</v>
      </c>
      <c r="H844" s="1">
        <v>46090303</v>
      </c>
      <c r="I844" s="1">
        <v>6550605</v>
      </c>
      <c r="J844" s="1">
        <v>360548</v>
      </c>
      <c r="K844" s="1">
        <v>6.87</v>
      </c>
      <c r="L844" s="1">
        <v>24.19</v>
      </c>
      <c r="M844" s="1">
        <v>11.08</v>
      </c>
      <c r="N844" s="1">
        <v>7.65</v>
      </c>
      <c r="O844" s="1">
        <v>34.99</v>
      </c>
      <c r="P844" s="1">
        <v>20.47</v>
      </c>
      <c r="Q844" s="1">
        <v>1494.65</v>
      </c>
      <c r="R844" s="1">
        <v>41</v>
      </c>
      <c r="S844" s="1">
        <v>64</v>
      </c>
    </row>
    <row r="845" spans="1:19" ht="15">
      <c r="A845" s="1">
        <v>47</v>
      </c>
      <c r="B845" s="1" t="s">
        <v>72</v>
      </c>
      <c r="C845" s="1" t="s">
        <v>56</v>
      </c>
      <c r="D845" s="1">
        <v>2026</v>
      </c>
      <c r="E845" s="1" t="s">
        <v>21</v>
      </c>
      <c r="F845" s="1">
        <v>91843794</v>
      </c>
      <c r="G845" s="1">
        <v>47364452</v>
      </c>
      <c r="H845" s="1">
        <v>44479342</v>
      </c>
      <c r="I845" s="1">
        <v>7091405</v>
      </c>
      <c r="J845" s="1">
        <v>461522</v>
      </c>
      <c r="K845" s="1">
        <v>7.72</v>
      </c>
      <c r="L845" s="1">
        <v>10.99</v>
      </c>
      <c r="M845" s="1">
        <v>29.87</v>
      </c>
      <c r="N845" s="1">
        <v>9.4499999999999993</v>
      </c>
      <c r="O845" s="1">
        <v>24.42</v>
      </c>
      <c r="P845" s="1">
        <v>34.85</v>
      </c>
      <c r="Q845" s="1">
        <v>4049.41</v>
      </c>
      <c r="R845" s="1">
        <v>40</v>
      </c>
      <c r="S845" s="1">
        <v>60.8</v>
      </c>
    </row>
    <row r="846" spans="1:19" ht="15">
      <c r="A846" s="1">
        <v>47</v>
      </c>
      <c r="B846" s="1" t="s">
        <v>72</v>
      </c>
      <c r="C846" s="1" t="s">
        <v>56</v>
      </c>
      <c r="D846" s="1">
        <v>2026</v>
      </c>
      <c r="E846" s="1" t="s">
        <v>22</v>
      </c>
      <c r="F846" s="1">
        <v>169659579</v>
      </c>
      <c r="G846" s="1">
        <v>82480055</v>
      </c>
      <c r="H846" s="1">
        <v>87179524</v>
      </c>
      <c r="I846" s="1">
        <v>11357846</v>
      </c>
      <c r="J846" s="1">
        <v>495501</v>
      </c>
      <c r="K846" s="1">
        <v>6.69</v>
      </c>
      <c r="L846" s="1">
        <v>10.91</v>
      </c>
      <c r="M846" s="1">
        <v>13.18</v>
      </c>
      <c r="N846" s="1">
        <v>14.79</v>
      </c>
      <c r="O846" s="1">
        <v>39.520000000000003</v>
      </c>
      <c r="P846" s="1">
        <v>37.82</v>
      </c>
      <c r="Q846" s="1">
        <v>9531.4</v>
      </c>
      <c r="R846" s="1">
        <v>46</v>
      </c>
      <c r="S846" s="1">
        <v>64</v>
      </c>
    </row>
    <row r="847" spans="1:19" ht="15">
      <c r="A847" s="1">
        <v>47</v>
      </c>
      <c r="B847" s="1" t="s">
        <v>72</v>
      </c>
      <c r="C847" s="1" t="s">
        <v>56</v>
      </c>
      <c r="D847" s="1">
        <v>2026</v>
      </c>
      <c r="E847" s="1" t="s">
        <v>23</v>
      </c>
      <c r="F847" s="1">
        <v>54439427</v>
      </c>
      <c r="G847" s="1">
        <v>26775459</v>
      </c>
      <c r="H847" s="1">
        <v>27663968</v>
      </c>
      <c r="I847" s="1">
        <v>3012460</v>
      </c>
      <c r="J847" s="1">
        <v>99288</v>
      </c>
      <c r="K847" s="1">
        <v>5.53</v>
      </c>
      <c r="L847" s="1">
        <v>14.03</v>
      </c>
      <c r="M847" s="1">
        <v>27.73</v>
      </c>
      <c r="N847" s="1">
        <v>6.36</v>
      </c>
      <c r="O847" s="1">
        <v>34.92</v>
      </c>
      <c r="P847" s="1">
        <v>39.32</v>
      </c>
      <c r="Q847" s="1">
        <v>6109.26</v>
      </c>
      <c r="R847" s="1">
        <v>71</v>
      </c>
      <c r="S847" s="1">
        <v>74.8</v>
      </c>
    </row>
    <row r="848" spans="1:19" ht="15">
      <c r="A848" s="1">
        <v>48</v>
      </c>
      <c r="B848" s="1" t="s">
        <v>73</v>
      </c>
      <c r="C848" s="1" t="s">
        <v>56</v>
      </c>
      <c r="D848" s="1">
        <v>2021</v>
      </c>
      <c r="E848" s="1" t="s">
        <v>21</v>
      </c>
      <c r="F848" s="1">
        <v>81787858</v>
      </c>
      <c r="G848" s="1">
        <v>40122333</v>
      </c>
      <c r="H848" s="1">
        <v>41665525</v>
      </c>
      <c r="I848" s="1">
        <v>7761290</v>
      </c>
      <c r="J848" s="1">
        <v>474690</v>
      </c>
      <c r="K848" s="1">
        <v>9.49</v>
      </c>
      <c r="L848" s="1">
        <v>19.079999999999998</v>
      </c>
      <c r="M848" s="1">
        <v>22.95</v>
      </c>
      <c r="N848" s="1">
        <v>6.44</v>
      </c>
      <c r="O848" s="1">
        <v>33.72</v>
      </c>
      <c r="P848" s="1">
        <v>36.840000000000003</v>
      </c>
      <c r="Q848" s="1">
        <v>7480</v>
      </c>
      <c r="R848" s="1">
        <v>79</v>
      </c>
      <c r="S848" s="1">
        <v>69.2</v>
      </c>
    </row>
    <row r="849" spans="1:19" ht="15">
      <c r="A849" s="1">
        <v>48</v>
      </c>
      <c r="B849" s="1" t="s">
        <v>73</v>
      </c>
      <c r="C849" s="1" t="s">
        <v>56</v>
      </c>
      <c r="D849" s="1">
        <v>2021</v>
      </c>
      <c r="E849" s="1" t="s">
        <v>22</v>
      </c>
      <c r="F849" s="1">
        <v>36191201</v>
      </c>
      <c r="G849" s="1">
        <v>17510419</v>
      </c>
      <c r="H849" s="1">
        <v>18680782</v>
      </c>
      <c r="I849" s="1">
        <v>3183743</v>
      </c>
      <c r="J849" s="1">
        <v>141917</v>
      </c>
      <c r="K849" s="1">
        <v>8.8000000000000007</v>
      </c>
      <c r="L849" s="1">
        <v>10.35</v>
      </c>
      <c r="M849" s="1">
        <v>32.479999999999997</v>
      </c>
      <c r="N849" s="1">
        <v>6.8</v>
      </c>
      <c r="O849" s="1">
        <v>28.66</v>
      </c>
      <c r="P849" s="1">
        <v>17.47</v>
      </c>
      <c r="Q849" s="1">
        <v>11410.84</v>
      </c>
      <c r="R849" s="1">
        <v>58</v>
      </c>
      <c r="S849" s="1">
        <v>77.599999999999994</v>
      </c>
    </row>
    <row r="850" spans="1:19" ht="15">
      <c r="A850" s="1">
        <v>48</v>
      </c>
      <c r="B850" s="1" t="s">
        <v>73</v>
      </c>
      <c r="C850" s="1" t="s">
        <v>56</v>
      </c>
      <c r="D850" s="1">
        <v>2021</v>
      </c>
      <c r="E850" s="1" t="s">
        <v>23</v>
      </c>
      <c r="F850" s="1">
        <v>186147459</v>
      </c>
      <c r="G850" s="1">
        <v>93095214</v>
      </c>
      <c r="H850" s="1">
        <v>93052245</v>
      </c>
      <c r="I850" s="1">
        <v>15939761</v>
      </c>
      <c r="J850" s="1">
        <v>780793</v>
      </c>
      <c r="K850" s="1">
        <v>8.56</v>
      </c>
      <c r="L850" s="1">
        <v>26.88</v>
      </c>
      <c r="M850" s="1">
        <v>14.03</v>
      </c>
      <c r="N850" s="1">
        <v>8.43</v>
      </c>
      <c r="O850" s="1">
        <v>22.39</v>
      </c>
      <c r="P850" s="1">
        <v>25.38</v>
      </c>
      <c r="Q850" s="1">
        <v>10421.42</v>
      </c>
      <c r="R850" s="1">
        <v>74</v>
      </c>
      <c r="S850" s="1">
        <v>76.599999999999994</v>
      </c>
    </row>
    <row r="851" spans="1:19" ht="15">
      <c r="A851" s="1">
        <v>48</v>
      </c>
      <c r="B851" s="1" t="s">
        <v>73</v>
      </c>
      <c r="C851" s="1" t="s">
        <v>56</v>
      </c>
      <c r="D851" s="1">
        <v>2022</v>
      </c>
      <c r="E851" s="1" t="s">
        <v>21</v>
      </c>
      <c r="F851" s="1">
        <v>177650158</v>
      </c>
      <c r="G851" s="1">
        <v>92168707</v>
      </c>
      <c r="H851" s="1">
        <v>85481451</v>
      </c>
      <c r="I851" s="1">
        <v>17288175</v>
      </c>
      <c r="J851" s="1">
        <v>1105836</v>
      </c>
      <c r="K851" s="1">
        <v>9.73</v>
      </c>
      <c r="L851" s="1">
        <v>13.29</v>
      </c>
      <c r="M851" s="1">
        <v>18.43</v>
      </c>
      <c r="N851" s="1">
        <v>13.78</v>
      </c>
      <c r="O851" s="1">
        <v>33.49</v>
      </c>
      <c r="P851" s="1">
        <v>20.18</v>
      </c>
      <c r="Q851" s="1">
        <v>4251.34</v>
      </c>
      <c r="R851" s="1">
        <v>83</v>
      </c>
      <c r="S851" s="1">
        <v>74</v>
      </c>
    </row>
    <row r="852" spans="1:19" ht="15">
      <c r="A852" s="1">
        <v>48</v>
      </c>
      <c r="B852" s="1" t="s">
        <v>73</v>
      </c>
      <c r="C852" s="1" t="s">
        <v>56</v>
      </c>
      <c r="D852" s="1">
        <v>2022</v>
      </c>
      <c r="E852" s="1" t="s">
        <v>22</v>
      </c>
      <c r="F852" s="1">
        <v>28734044</v>
      </c>
      <c r="G852" s="1">
        <v>13922077</v>
      </c>
      <c r="H852" s="1">
        <v>14811967</v>
      </c>
      <c r="I852" s="1">
        <v>1906118</v>
      </c>
      <c r="J852" s="1">
        <v>131834</v>
      </c>
      <c r="K852" s="1">
        <v>6.63</v>
      </c>
      <c r="L852" s="1">
        <v>25.91</v>
      </c>
      <c r="M852" s="1">
        <v>26.2</v>
      </c>
      <c r="N852" s="1">
        <v>13.99</v>
      </c>
      <c r="O852" s="1">
        <v>21.24</v>
      </c>
      <c r="P852" s="1">
        <v>16.96</v>
      </c>
      <c r="Q852" s="1">
        <v>7346.11</v>
      </c>
      <c r="R852" s="1">
        <v>54</v>
      </c>
      <c r="S852" s="1">
        <v>65.5</v>
      </c>
    </row>
    <row r="853" spans="1:19" ht="15">
      <c r="A853" s="1">
        <v>48</v>
      </c>
      <c r="B853" s="1" t="s">
        <v>73</v>
      </c>
      <c r="C853" s="1" t="s">
        <v>56</v>
      </c>
      <c r="D853" s="1">
        <v>2022</v>
      </c>
      <c r="E853" s="1" t="s">
        <v>23</v>
      </c>
      <c r="F853" s="1">
        <v>73549060</v>
      </c>
      <c r="G853" s="1">
        <v>38212818</v>
      </c>
      <c r="H853" s="1">
        <v>35336242</v>
      </c>
      <c r="I853" s="1">
        <v>4501710</v>
      </c>
      <c r="J853" s="1">
        <v>163582</v>
      </c>
      <c r="K853" s="1">
        <v>6.12</v>
      </c>
      <c r="L853" s="1">
        <v>24.36</v>
      </c>
      <c r="M853" s="1">
        <v>32</v>
      </c>
      <c r="N853" s="1">
        <v>6.53</v>
      </c>
      <c r="O853" s="1">
        <v>20.16</v>
      </c>
      <c r="P853" s="1">
        <v>23.83</v>
      </c>
      <c r="Q853" s="1">
        <v>1597.4</v>
      </c>
      <c r="R853" s="1">
        <v>62</v>
      </c>
      <c r="S853" s="1">
        <v>69</v>
      </c>
    </row>
    <row r="854" spans="1:19" ht="15">
      <c r="A854" s="1">
        <v>48</v>
      </c>
      <c r="B854" s="1" t="s">
        <v>73</v>
      </c>
      <c r="C854" s="1" t="s">
        <v>56</v>
      </c>
      <c r="D854" s="1">
        <v>2023</v>
      </c>
      <c r="E854" s="1" t="s">
        <v>21</v>
      </c>
      <c r="F854" s="1">
        <v>102244096</v>
      </c>
      <c r="G854" s="1">
        <v>51958045</v>
      </c>
      <c r="H854" s="1">
        <v>50286051</v>
      </c>
      <c r="I854" s="1">
        <v>7383176</v>
      </c>
      <c r="J854" s="1">
        <v>588301</v>
      </c>
      <c r="K854" s="1">
        <v>7.22</v>
      </c>
      <c r="L854" s="1">
        <v>10.72</v>
      </c>
      <c r="M854" s="1">
        <v>13.19</v>
      </c>
      <c r="N854" s="1">
        <v>5.64</v>
      </c>
      <c r="O854" s="1">
        <v>33.18</v>
      </c>
      <c r="P854" s="1">
        <v>25.61</v>
      </c>
      <c r="Q854" s="1">
        <v>2636.44</v>
      </c>
      <c r="R854" s="1">
        <v>51</v>
      </c>
      <c r="S854" s="1">
        <v>69.5</v>
      </c>
    </row>
    <row r="855" spans="1:19" ht="15">
      <c r="A855" s="1">
        <v>48</v>
      </c>
      <c r="B855" s="1" t="s">
        <v>73</v>
      </c>
      <c r="C855" s="1" t="s">
        <v>56</v>
      </c>
      <c r="D855" s="1">
        <v>2023</v>
      </c>
      <c r="E855" s="1" t="s">
        <v>22</v>
      </c>
      <c r="F855" s="1">
        <v>117540911</v>
      </c>
      <c r="G855" s="1">
        <v>59307037</v>
      </c>
      <c r="H855" s="1">
        <v>58233874</v>
      </c>
      <c r="I855" s="1">
        <v>8767758</v>
      </c>
      <c r="J855" s="1">
        <v>277217</v>
      </c>
      <c r="K855" s="1">
        <v>7.46</v>
      </c>
      <c r="L855" s="1">
        <v>11.28</v>
      </c>
      <c r="M855" s="1">
        <v>14.49</v>
      </c>
      <c r="N855" s="1">
        <v>10.37</v>
      </c>
      <c r="O855" s="1">
        <v>37.56</v>
      </c>
      <c r="P855" s="1">
        <v>17.149999999999999</v>
      </c>
      <c r="Q855" s="1">
        <v>5236.38</v>
      </c>
      <c r="R855" s="1">
        <v>50</v>
      </c>
      <c r="S855" s="1">
        <v>70</v>
      </c>
    </row>
    <row r="856" spans="1:19" ht="15">
      <c r="A856" s="1">
        <v>48</v>
      </c>
      <c r="B856" s="1" t="s">
        <v>73</v>
      </c>
      <c r="C856" s="1" t="s">
        <v>56</v>
      </c>
      <c r="D856" s="1">
        <v>2023</v>
      </c>
      <c r="E856" s="1" t="s">
        <v>23</v>
      </c>
      <c r="F856" s="1">
        <v>186486510</v>
      </c>
      <c r="G856" s="1">
        <v>92242553</v>
      </c>
      <c r="H856" s="1">
        <v>94243957</v>
      </c>
      <c r="I856" s="1">
        <v>13810382</v>
      </c>
      <c r="J856" s="1">
        <v>775930</v>
      </c>
      <c r="K856" s="1">
        <v>7.41</v>
      </c>
      <c r="L856" s="1">
        <v>26.48</v>
      </c>
      <c r="M856" s="1">
        <v>30.66</v>
      </c>
      <c r="N856" s="1">
        <v>11.37</v>
      </c>
      <c r="O856" s="1">
        <v>39.799999999999997</v>
      </c>
      <c r="P856" s="1">
        <v>25.03</v>
      </c>
      <c r="Q856" s="1">
        <v>641.79999999999995</v>
      </c>
      <c r="R856" s="1">
        <v>69</v>
      </c>
      <c r="S856" s="1">
        <v>80</v>
      </c>
    </row>
    <row r="857" spans="1:19" ht="15">
      <c r="A857" s="1">
        <v>48</v>
      </c>
      <c r="B857" s="1" t="s">
        <v>73</v>
      </c>
      <c r="C857" s="1" t="s">
        <v>56</v>
      </c>
      <c r="D857" s="1">
        <v>2024</v>
      </c>
      <c r="E857" s="1" t="s">
        <v>21</v>
      </c>
      <c r="F857" s="1">
        <v>135969951</v>
      </c>
      <c r="G857" s="1">
        <v>67577131</v>
      </c>
      <c r="H857" s="1">
        <v>68392820</v>
      </c>
      <c r="I857" s="1">
        <v>8837292</v>
      </c>
      <c r="J857" s="1">
        <v>512472</v>
      </c>
      <c r="K857" s="1">
        <v>6.5</v>
      </c>
      <c r="L857" s="1">
        <v>10.25</v>
      </c>
      <c r="M857" s="1">
        <v>10.050000000000001</v>
      </c>
      <c r="N857" s="1">
        <v>12.25</v>
      </c>
      <c r="O857" s="1">
        <v>29.61</v>
      </c>
      <c r="P857" s="1">
        <v>30.86</v>
      </c>
      <c r="Q857" s="1">
        <v>2304.19</v>
      </c>
      <c r="R857" s="1">
        <v>73</v>
      </c>
      <c r="S857" s="1">
        <v>81.8</v>
      </c>
    </row>
    <row r="858" spans="1:19" ht="15">
      <c r="A858" s="1">
        <v>48</v>
      </c>
      <c r="B858" s="1" t="s">
        <v>73</v>
      </c>
      <c r="C858" s="1" t="s">
        <v>56</v>
      </c>
      <c r="D858" s="1">
        <v>2024</v>
      </c>
      <c r="E858" s="1" t="s">
        <v>22</v>
      </c>
      <c r="F858" s="1">
        <v>41837279</v>
      </c>
      <c r="G858" s="1">
        <v>20318067</v>
      </c>
      <c r="H858" s="1">
        <v>21519212</v>
      </c>
      <c r="I858" s="1">
        <v>2992015</v>
      </c>
      <c r="J858" s="1">
        <v>162801</v>
      </c>
      <c r="K858" s="1">
        <v>7.15</v>
      </c>
      <c r="L858" s="1">
        <v>20.46</v>
      </c>
      <c r="M858" s="1">
        <v>26.38</v>
      </c>
      <c r="N858" s="1">
        <v>13.54</v>
      </c>
      <c r="O858" s="1">
        <v>39.64</v>
      </c>
      <c r="P858" s="1">
        <v>26.19</v>
      </c>
      <c r="Q858" s="1">
        <v>5774.34</v>
      </c>
      <c r="R858" s="1">
        <v>46</v>
      </c>
      <c r="S858" s="1">
        <v>65.400000000000006</v>
      </c>
    </row>
    <row r="859" spans="1:19" ht="15">
      <c r="A859" s="1">
        <v>48</v>
      </c>
      <c r="B859" s="1" t="s">
        <v>73</v>
      </c>
      <c r="C859" s="1" t="s">
        <v>56</v>
      </c>
      <c r="D859" s="1">
        <v>2024</v>
      </c>
      <c r="E859" s="1" t="s">
        <v>23</v>
      </c>
      <c r="F859" s="1">
        <v>143647644</v>
      </c>
      <c r="G859" s="1">
        <v>71902592</v>
      </c>
      <c r="H859" s="1">
        <v>71745052</v>
      </c>
      <c r="I859" s="1">
        <v>10425193</v>
      </c>
      <c r="J859" s="1">
        <v>490394</v>
      </c>
      <c r="K859" s="1">
        <v>7.26</v>
      </c>
      <c r="L859" s="1">
        <v>19.41</v>
      </c>
      <c r="M859" s="1">
        <v>25.54</v>
      </c>
      <c r="N859" s="1">
        <v>13.25</v>
      </c>
      <c r="O859" s="1">
        <v>31.87</v>
      </c>
      <c r="P859" s="1">
        <v>33.54</v>
      </c>
      <c r="Q859" s="1">
        <v>5103.91</v>
      </c>
      <c r="R859" s="1">
        <v>71</v>
      </c>
      <c r="S859" s="1">
        <v>73.3</v>
      </c>
    </row>
    <row r="860" spans="1:19" ht="15">
      <c r="A860" s="1">
        <v>48</v>
      </c>
      <c r="B860" s="1" t="s">
        <v>73</v>
      </c>
      <c r="C860" s="1" t="s">
        <v>56</v>
      </c>
      <c r="D860" s="1">
        <v>2025</v>
      </c>
      <c r="E860" s="1" t="s">
        <v>21</v>
      </c>
      <c r="F860" s="1">
        <v>41949440</v>
      </c>
      <c r="G860" s="1">
        <v>20933899</v>
      </c>
      <c r="H860" s="1">
        <v>21015541</v>
      </c>
      <c r="I860" s="1">
        <v>2435501</v>
      </c>
      <c r="J860" s="1">
        <v>166796</v>
      </c>
      <c r="K860" s="1">
        <v>5.81</v>
      </c>
      <c r="L860" s="1">
        <v>21.5</v>
      </c>
      <c r="M860" s="1">
        <v>17.57</v>
      </c>
      <c r="N860" s="1">
        <v>7.02</v>
      </c>
      <c r="O860" s="1">
        <v>25.01</v>
      </c>
      <c r="P860" s="1">
        <v>35.57</v>
      </c>
      <c r="Q860" s="1">
        <v>7895.58</v>
      </c>
      <c r="R860" s="1">
        <v>80</v>
      </c>
      <c r="S860" s="1">
        <v>72</v>
      </c>
    </row>
    <row r="861" spans="1:19" ht="15">
      <c r="A861" s="1">
        <v>48</v>
      </c>
      <c r="B861" s="1" t="s">
        <v>73</v>
      </c>
      <c r="C861" s="1" t="s">
        <v>56</v>
      </c>
      <c r="D861" s="1">
        <v>2025</v>
      </c>
      <c r="E861" s="1" t="s">
        <v>22</v>
      </c>
      <c r="F861" s="1">
        <v>42446181</v>
      </c>
      <c r="G861" s="1">
        <v>21710194</v>
      </c>
      <c r="H861" s="1">
        <v>20735987</v>
      </c>
      <c r="I861" s="1">
        <v>3169722</v>
      </c>
      <c r="J861" s="1">
        <v>141284</v>
      </c>
      <c r="K861" s="1">
        <v>7.47</v>
      </c>
      <c r="L861" s="1">
        <v>23.41</v>
      </c>
      <c r="M861" s="1">
        <v>27.25</v>
      </c>
      <c r="N861" s="1">
        <v>6.67</v>
      </c>
      <c r="O861" s="1">
        <v>37.29</v>
      </c>
      <c r="P861" s="1">
        <v>24.86</v>
      </c>
      <c r="Q861" s="1">
        <v>3094</v>
      </c>
      <c r="R861" s="1">
        <v>48</v>
      </c>
      <c r="S861" s="1">
        <v>66.7</v>
      </c>
    </row>
    <row r="862" spans="1:19" ht="15">
      <c r="A862" s="1">
        <v>48</v>
      </c>
      <c r="B862" s="1" t="s">
        <v>73</v>
      </c>
      <c r="C862" s="1" t="s">
        <v>56</v>
      </c>
      <c r="D862" s="1">
        <v>2025</v>
      </c>
      <c r="E862" s="1" t="s">
        <v>23</v>
      </c>
      <c r="F862" s="1">
        <v>52385755</v>
      </c>
      <c r="G862" s="1">
        <v>26103953</v>
      </c>
      <c r="H862" s="1">
        <v>26281802</v>
      </c>
      <c r="I862" s="1">
        <v>4320878</v>
      </c>
      <c r="J862" s="1">
        <v>239453</v>
      </c>
      <c r="K862" s="1">
        <v>8.25</v>
      </c>
      <c r="L862" s="1">
        <v>29.89</v>
      </c>
      <c r="M862" s="1">
        <v>28.18</v>
      </c>
      <c r="N862" s="1">
        <v>13.3</v>
      </c>
      <c r="O862" s="1">
        <v>26.89</v>
      </c>
      <c r="P862" s="1">
        <v>37.979999999999997</v>
      </c>
      <c r="Q862" s="1">
        <v>9519.33</v>
      </c>
      <c r="R862" s="1">
        <v>82</v>
      </c>
      <c r="S862" s="1">
        <v>77.099999999999994</v>
      </c>
    </row>
    <row r="863" spans="1:19" ht="15">
      <c r="A863" s="1">
        <v>48</v>
      </c>
      <c r="B863" s="1" t="s">
        <v>73</v>
      </c>
      <c r="C863" s="1" t="s">
        <v>56</v>
      </c>
      <c r="D863" s="1">
        <v>2026</v>
      </c>
      <c r="E863" s="1" t="s">
        <v>21</v>
      </c>
      <c r="F863" s="1">
        <v>36051237</v>
      </c>
      <c r="G863" s="1">
        <v>17970376</v>
      </c>
      <c r="H863" s="1">
        <v>18080861</v>
      </c>
      <c r="I863" s="1">
        <v>3006846</v>
      </c>
      <c r="J863" s="1">
        <v>220657</v>
      </c>
      <c r="K863" s="1">
        <v>8.34</v>
      </c>
      <c r="L863" s="1">
        <v>15.93</v>
      </c>
      <c r="M863" s="1">
        <v>31.58</v>
      </c>
      <c r="N863" s="1">
        <v>12.95</v>
      </c>
      <c r="O863" s="1">
        <v>36.32</v>
      </c>
      <c r="P863" s="1">
        <v>31.77</v>
      </c>
      <c r="Q863" s="1">
        <v>4993.1499999999996</v>
      </c>
      <c r="R863" s="1">
        <v>77</v>
      </c>
      <c r="S863" s="1">
        <v>73.8</v>
      </c>
    </row>
    <row r="864" spans="1:19" ht="15">
      <c r="A864" s="1">
        <v>48</v>
      </c>
      <c r="B864" s="1" t="s">
        <v>73</v>
      </c>
      <c r="C864" s="1" t="s">
        <v>56</v>
      </c>
      <c r="D864" s="1">
        <v>2026</v>
      </c>
      <c r="E864" s="1" t="s">
        <v>22</v>
      </c>
      <c r="F864" s="1">
        <v>117281039</v>
      </c>
      <c r="G864" s="1">
        <v>59853163</v>
      </c>
      <c r="H864" s="1">
        <v>57427876</v>
      </c>
      <c r="I864" s="1">
        <v>9158729</v>
      </c>
      <c r="J864" s="1">
        <v>384803</v>
      </c>
      <c r="K864" s="1">
        <v>7.81</v>
      </c>
      <c r="L864" s="1">
        <v>27.63</v>
      </c>
      <c r="M864" s="1">
        <v>22.98</v>
      </c>
      <c r="N864" s="1">
        <v>7.18</v>
      </c>
      <c r="O864" s="1">
        <v>26.99</v>
      </c>
      <c r="P864" s="1">
        <v>24.65</v>
      </c>
      <c r="Q864" s="1">
        <v>7234.63</v>
      </c>
      <c r="R864" s="1">
        <v>80</v>
      </c>
      <c r="S864" s="1">
        <v>60.4</v>
      </c>
    </row>
    <row r="865" spans="1:19" ht="15">
      <c r="A865" s="1">
        <v>48</v>
      </c>
      <c r="B865" s="1" t="s">
        <v>73</v>
      </c>
      <c r="C865" s="1" t="s">
        <v>56</v>
      </c>
      <c r="D865" s="1">
        <v>2026</v>
      </c>
      <c r="E865" s="1" t="s">
        <v>23</v>
      </c>
      <c r="F865" s="1">
        <v>68210180</v>
      </c>
      <c r="G865" s="1">
        <v>32960537</v>
      </c>
      <c r="H865" s="1">
        <v>35249643</v>
      </c>
      <c r="I865" s="1">
        <v>6657266</v>
      </c>
      <c r="J865" s="1">
        <v>334112</v>
      </c>
      <c r="K865" s="1">
        <v>9.76</v>
      </c>
      <c r="L865" s="1">
        <v>18.62</v>
      </c>
      <c r="M865" s="1">
        <v>27.67</v>
      </c>
      <c r="N865" s="1">
        <v>11.11</v>
      </c>
      <c r="O865" s="1">
        <v>31.56</v>
      </c>
      <c r="P865" s="1">
        <v>28.99</v>
      </c>
      <c r="Q865" s="1">
        <v>3899.53</v>
      </c>
      <c r="R865" s="1">
        <v>50</v>
      </c>
      <c r="S865" s="1">
        <v>75.2</v>
      </c>
    </row>
    <row r="866" spans="1:19" ht="15">
      <c r="A866" s="1">
        <v>49</v>
      </c>
      <c r="B866" s="1" t="s">
        <v>74</v>
      </c>
      <c r="C866" s="1" t="s">
        <v>75</v>
      </c>
      <c r="D866" s="1">
        <v>2021</v>
      </c>
      <c r="E866" s="1" t="s">
        <v>21</v>
      </c>
      <c r="F866" s="1">
        <v>42054840</v>
      </c>
      <c r="G866" s="1">
        <v>21555795</v>
      </c>
      <c r="H866" s="1">
        <v>20499045</v>
      </c>
      <c r="I866" s="1">
        <v>2755735</v>
      </c>
      <c r="J866" s="1">
        <v>152059</v>
      </c>
      <c r="K866" s="1">
        <v>6.55</v>
      </c>
      <c r="L866" s="1">
        <v>10.92</v>
      </c>
      <c r="M866" s="1">
        <v>11.46</v>
      </c>
      <c r="N866" s="1">
        <v>11.13</v>
      </c>
      <c r="O866" s="1">
        <v>21.1</v>
      </c>
      <c r="P866" s="1">
        <v>38.770000000000003</v>
      </c>
      <c r="Q866" s="1">
        <v>3199.32</v>
      </c>
      <c r="R866" s="1">
        <v>56</v>
      </c>
      <c r="S866" s="1">
        <v>72.3</v>
      </c>
    </row>
    <row r="867" spans="1:19" ht="15">
      <c r="A867" s="1">
        <v>49</v>
      </c>
      <c r="B867" s="1" t="s">
        <v>74</v>
      </c>
      <c r="C867" s="1" t="s">
        <v>75</v>
      </c>
      <c r="D867" s="1">
        <v>2021</v>
      </c>
      <c r="E867" s="1" t="s">
        <v>22</v>
      </c>
      <c r="F867" s="1">
        <v>163056844</v>
      </c>
      <c r="G867" s="1">
        <v>78347699</v>
      </c>
      <c r="H867" s="1">
        <v>84709145</v>
      </c>
      <c r="I867" s="1">
        <v>14970867</v>
      </c>
      <c r="J867" s="1">
        <v>947411</v>
      </c>
      <c r="K867" s="1">
        <v>9.18</v>
      </c>
      <c r="L867" s="1">
        <v>10.039999999999999</v>
      </c>
      <c r="M867" s="1">
        <v>19.45</v>
      </c>
      <c r="N867" s="1">
        <v>12.48</v>
      </c>
      <c r="O867" s="1">
        <v>31.9</v>
      </c>
      <c r="P867" s="1">
        <v>29.52</v>
      </c>
      <c r="Q867" s="1">
        <v>2097.85</v>
      </c>
      <c r="R867" s="1">
        <v>55</v>
      </c>
      <c r="S867" s="1">
        <v>61.9</v>
      </c>
    </row>
    <row r="868" spans="1:19" ht="15">
      <c r="A868" s="1">
        <v>49</v>
      </c>
      <c r="B868" s="1" t="s">
        <v>74</v>
      </c>
      <c r="C868" s="1" t="s">
        <v>75</v>
      </c>
      <c r="D868" s="1">
        <v>2021</v>
      </c>
      <c r="E868" s="1" t="s">
        <v>23</v>
      </c>
      <c r="F868" s="1">
        <v>187655732</v>
      </c>
      <c r="G868" s="1">
        <v>92484658</v>
      </c>
      <c r="H868" s="1">
        <v>95171074</v>
      </c>
      <c r="I868" s="1">
        <v>11792432</v>
      </c>
      <c r="J868" s="1">
        <v>544652</v>
      </c>
      <c r="K868" s="1">
        <v>6.28</v>
      </c>
      <c r="L868" s="1">
        <v>22.08</v>
      </c>
      <c r="M868" s="1">
        <v>20.66</v>
      </c>
      <c r="N868" s="1">
        <v>9.5299999999999994</v>
      </c>
      <c r="O868" s="1">
        <v>26.52</v>
      </c>
      <c r="P868" s="1">
        <v>22.29</v>
      </c>
      <c r="Q868" s="1">
        <v>8003.93</v>
      </c>
      <c r="R868" s="1">
        <v>67</v>
      </c>
      <c r="S868" s="1">
        <v>72.900000000000006</v>
      </c>
    </row>
    <row r="869" spans="1:19" ht="15">
      <c r="A869" s="1">
        <v>49</v>
      </c>
      <c r="B869" s="1" t="s">
        <v>74</v>
      </c>
      <c r="C869" s="1" t="s">
        <v>75</v>
      </c>
      <c r="D869" s="1">
        <v>2022</v>
      </c>
      <c r="E869" s="1" t="s">
        <v>21</v>
      </c>
      <c r="F869" s="1">
        <v>59865237</v>
      </c>
      <c r="G869" s="1">
        <v>30228173</v>
      </c>
      <c r="H869" s="1">
        <v>29637064</v>
      </c>
      <c r="I869" s="1">
        <v>4468510</v>
      </c>
      <c r="J869" s="1">
        <v>323680</v>
      </c>
      <c r="K869" s="1">
        <v>7.46</v>
      </c>
      <c r="L869" s="1">
        <v>29.5</v>
      </c>
      <c r="M869" s="1">
        <v>22.11</v>
      </c>
      <c r="N869" s="1">
        <v>9.41</v>
      </c>
      <c r="O869" s="1">
        <v>38.56</v>
      </c>
      <c r="P869" s="1">
        <v>26.26</v>
      </c>
      <c r="Q869" s="1">
        <v>7398.4</v>
      </c>
      <c r="R869" s="1">
        <v>66</v>
      </c>
      <c r="S869" s="1">
        <v>63.6</v>
      </c>
    </row>
    <row r="870" spans="1:19" ht="15">
      <c r="A870" s="1">
        <v>49</v>
      </c>
      <c r="B870" s="1" t="s">
        <v>74</v>
      </c>
      <c r="C870" s="1" t="s">
        <v>75</v>
      </c>
      <c r="D870" s="1">
        <v>2022</v>
      </c>
      <c r="E870" s="1" t="s">
        <v>22</v>
      </c>
      <c r="F870" s="1">
        <v>149336670</v>
      </c>
      <c r="G870" s="1">
        <v>75951319</v>
      </c>
      <c r="H870" s="1">
        <v>73385351</v>
      </c>
      <c r="I870" s="1">
        <v>13363409</v>
      </c>
      <c r="J870" s="1">
        <v>655125</v>
      </c>
      <c r="K870" s="1">
        <v>8.9499999999999993</v>
      </c>
      <c r="L870" s="1">
        <v>23.77</v>
      </c>
      <c r="M870" s="1">
        <v>29.53</v>
      </c>
      <c r="N870" s="1">
        <v>8.06</v>
      </c>
      <c r="O870" s="1">
        <v>33.21</v>
      </c>
      <c r="P870" s="1">
        <v>21.22</v>
      </c>
      <c r="Q870" s="1">
        <v>7645.1</v>
      </c>
      <c r="R870" s="1">
        <v>54</v>
      </c>
      <c r="S870" s="1">
        <v>73.3</v>
      </c>
    </row>
    <row r="871" spans="1:19" ht="15">
      <c r="A871" s="1">
        <v>49</v>
      </c>
      <c r="B871" s="1" t="s">
        <v>74</v>
      </c>
      <c r="C871" s="1" t="s">
        <v>75</v>
      </c>
      <c r="D871" s="1">
        <v>2022</v>
      </c>
      <c r="E871" s="1" t="s">
        <v>23</v>
      </c>
      <c r="F871" s="1">
        <v>40669833</v>
      </c>
      <c r="G871" s="1">
        <v>19916376</v>
      </c>
      <c r="H871" s="1">
        <v>20753457</v>
      </c>
      <c r="I871" s="1">
        <v>2405363</v>
      </c>
      <c r="J871" s="1">
        <v>188913</v>
      </c>
      <c r="K871" s="1">
        <v>5.91</v>
      </c>
      <c r="L871" s="1">
        <v>11.52</v>
      </c>
      <c r="M871" s="1">
        <v>23.13</v>
      </c>
      <c r="N871" s="1">
        <v>10.68</v>
      </c>
      <c r="O871" s="1">
        <v>35.770000000000003</v>
      </c>
      <c r="P871" s="1">
        <v>20.64</v>
      </c>
      <c r="Q871" s="1">
        <v>11961.05</v>
      </c>
      <c r="R871" s="1">
        <v>53</v>
      </c>
      <c r="S871" s="1">
        <v>71.5</v>
      </c>
    </row>
    <row r="872" spans="1:19" ht="15">
      <c r="A872" s="1">
        <v>49</v>
      </c>
      <c r="B872" s="1" t="s">
        <v>74</v>
      </c>
      <c r="C872" s="1" t="s">
        <v>75</v>
      </c>
      <c r="D872" s="1">
        <v>2023</v>
      </c>
      <c r="E872" s="1" t="s">
        <v>21</v>
      </c>
      <c r="F872" s="1">
        <v>197542207</v>
      </c>
      <c r="G872" s="1">
        <v>99656598</v>
      </c>
      <c r="H872" s="1">
        <v>97885609</v>
      </c>
      <c r="I872" s="1">
        <v>13553357</v>
      </c>
      <c r="J872" s="1">
        <v>609768</v>
      </c>
      <c r="K872" s="1">
        <v>6.86</v>
      </c>
      <c r="L872" s="1">
        <v>21.34</v>
      </c>
      <c r="M872" s="1">
        <v>15.39</v>
      </c>
      <c r="N872" s="1">
        <v>10.3</v>
      </c>
      <c r="O872" s="1">
        <v>29.89</v>
      </c>
      <c r="P872" s="1">
        <v>22.83</v>
      </c>
      <c r="Q872" s="1">
        <v>1558.22</v>
      </c>
      <c r="R872" s="1">
        <v>50</v>
      </c>
      <c r="S872" s="1">
        <v>81.900000000000006</v>
      </c>
    </row>
    <row r="873" spans="1:19" ht="15">
      <c r="A873" s="1">
        <v>49</v>
      </c>
      <c r="B873" s="1" t="s">
        <v>74</v>
      </c>
      <c r="C873" s="1" t="s">
        <v>75</v>
      </c>
      <c r="D873" s="1">
        <v>2023</v>
      </c>
      <c r="E873" s="1" t="s">
        <v>22</v>
      </c>
      <c r="F873" s="1">
        <v>117461892</v>
      </c>
      <c r="G873" s="1">
        <v>60336605</v>
      </c>
      <c r="H873" s="1">
        <v>57125287</v>
      </c>
      <c r="I873" s="1">
        <v>6633839</v>
      </c>
      <c r="J873" s="1">
        <v>296935</v>
      </c>
      <c r="K873" s="1">
        <v>5.65</v>
      </c>
      <c r="L873" s="1">
        <v>19.32</v>
      </c>
      <c r="M873" s="1">
        <v>25.57</v>
      </c>
      <c r="N873" s="1">
        <v>9.9499999999999993</v>
      </c>
      <c r="O873" s="1">
        <v>33.5</v>
      </c>
      <c r="P873" s="1">
        <v>15.76</v>
      </c>
      <c r="Q873" s="1">
        <v>6954.42</v>
      </c>
      <c r="R873" s="1">
        <v>66</v>
      </c>
      <c r="S873" s="1">
        <v>81.3</v>
      </c>
    </row>
    <row r="874" spans="1:19" ht="15">
      <c r="A874" s="1">
        <v>49</v>
      </c>
      <c r="B874" s="1" t="s">
        <v>74</v>
      </c>
      <c r="C874" s="1" t="s">
        <v>75</v>
      </c>
      <c r="D874" s="1">
        <v>2023</v>
      </c>
      <c r="E874" s="1" t="s">
        <v>23</v>
      </c>
      <c r="F874" s="1">
        <v>136462508</v>
      </c>
      <c r="G874" s="1">
        <v>66843196</v>
      </c>
      <c r="H874" s="1">
        <v>69619312</v>
      </c>
      <c r="I874" s="1">
        <v>7166995</v>
      </c>
      <c r="J874" s="1">
        <v>413591</v>
      </c>
      <c r="K874" s="1">
        <v>5.25</v>
      </c>
      <c r="L874" s="1">
        <v>20.87</v>
      </c>
      <c r="M874" s="1">
        <v>25.8</v>
      </c>
      <c r="N874" s="1">
        <v>6.41</v>
      </c>
      <c r="O874" s="1">
        <v>25.99</v>
      </c>
      <c r="P874" s="1">
        <v>38.340000000000003</v>
      </c>
      <c r="Q874" s="1">
        <v>10525.19</v>
      </c>
      <c r="R874" s="1">
        <v>70</v>
      </c>
      <c r="S874" s="1">
        <v>78.400000000000006</v>
      </c>
    </row>
    <row r="875" spans="1:19" ht="15">
      <c r="A875" s="1">
        <v>49</v>
      </c>
      <c r="B875" s="1" t="s">
        <v>74</v>
      </c>
      <c r="C875" s="1" t="s">
        <v>75</v>
      </c>
      <c r="D875" s="1">
        <v>2024</v>
      </c>
      <c r="E875" s="1" t="s">
        <v>21</v>
      </c>
      <c r="F875" s="1">
        <v>117118972</v>
      </c>
      <c r="G875" s="1">
        <v>60520050</v>
      </c>
      <c r="H875" s="1">
        <v>56598922</v>
      </c>
      <c r="I875" s="1">
        <v>6186099</v>
      </c>
      <c r="J875" s="1">
        <v>231180</v>
      </c>
      <c r="K875" s="1">
        <v>5.28</v>
      </c>
      <c r="L875" s="1">
        <v>11.3</v>
      </c>
      <c r="M875" s="1">
        <v>14.3</v>
      </c>
      <c r="N875" s="1">
        <v>13.18</v>
      </c>
      <c r="O875" s="1">
        <v>37.24</v>
      </c>
      <c r="P875" s="1">
        <v>32.159999999999997</v>
      </c>
      <c r="Q875" s="1">
        <v>7471.3</v>
      </c>
      <c r="R875" s="1">
        <v>56</v>
      </c>
      <c r="S875" s="1">
        <v>77.5</v>
      </c>
    </row>
    <row r="876" spans="1:19" ht="15">
      <c r="A876" s="1">
        <v>49</v>
      </c>
      <c r="B876" s="1" t="s">
        <v>74</v>
      </c>
      <c r="C876" s="1" t="s">
        <v>75</v>
      </c>
      <c r="D876" s="1">
        <v>2024</v>
      </c>
      <c r="E876" s="1" t="s">
        <v>22</v>
      </c>
      <c r="F876" s="1">
        <v>41286961</v>
      </c>
      <c r="G876" s="1">
        <v>21377849</v>
      </c>
      <c r="H876" s="1">
        <v>19909112</v>
      </c>
      <c r="I876" s="1">
        <v>3920675</v>
      </c>
      <c r="J876" s="1">
        <v>153568</v>
      </c>
      <c r="K876" s="1">
        <v>9.5</v>
      </c>
      <c r="L876" s="1">
        <v>23.79</v>
      </c>
      <c r="M876" s="1">
        <v>29.66</v>
      </c>
      <c r="N876" s="1">
        <v>12.32</v>
      </c>
      <c r="O876" s="1">
        <v>36.630000000000003</v>
      </c>
      <c r="P876" s="1">
        <v>32.799999999999997</v>
      </c>
      <c r="Q876" s="1">
        <v>9964.9699999999993</v>
      </c>
      <c r="R876" s="1">
        <v>71</v>
      </c>
      <c r="S876" s="1">
        <v>75.8</v>
      </c>
    </row>
    <row r="877" spans="1:19" ht="15">
      <c r="A877" s="1">
        <v>49</v>
      </c>
      <c r="B877" s="1" t="s">
        <v>74</v>
      </c>
      <c r="C877" s="1" t="s">
        <v>75</v>
      </c>
      <c r="D877" s="1">
        <v>2024</v>
      </c>
      <c r="E877" s="1" t="s">
        <v>23</v>
      </c>
      <c r="F877" s="1">
        <v>114764584</v>
      </c>
      <c r="G877" s="1">
        <v>56652100</v>
      </c>
      <c r="H877" s="1">
        <v>58112484</v>
      </c>
      <c r="I877" s="1">
        <v>10730069</v>
      </c>
      <c r="J877" s="1">
        <v>355086</v>
      </c>
      <c r="K877" s="1">
        <v>9.35</v>
      </c>
      <c r="L877" s="1">
        <v>19.68</v>
      </c>
      <c r="M877" s="1">
        <v>14.08</v>
      </c>
      <c r="N877" s="1">
        <v>5.9</v>
      </c>
      <c r="O877" s="1">
        <v>25.49</v>
      </c>
      <c r="P877" s="1">
        <v>26.24</v>
      </c>
      <c r="Q877" s="1">
        <v>10529.28</v>
      </c>
      <c r="R877" s="1">
        <v>62</v>
      </c>
      <c r="S877" s="1">
        <v>74.7</v>
      </c>
    </row>
    <row r="878" spans="1:19" ht="15">
      <c r="A878" s="1">
        <v>49</v>
      </c>
      <c r="B878" s="1" t="s">
        <v>74</v>
      </c>
      <c r="C878" s="1" t="s">
        <v>75</v>
      </c>
      <c r="D878" s="1">
        <v>2025</v>
      </c>
      <c r="E878" s="1" t="s">
        <v>21</v>
      </c>
      <c r="F878" s="1">
        <v>199003181</v>
      </c>
      <c r="G878" s="1">
        <v>103388177</v>
      </c>
      <c r="H878" s="1">
        <v>95615004</v>
      </c>
      <c r="I878" s="1">
        <v>11474060</v>
      </c>
      <c r="J878" s="1">
        <v>715696</v>
      </c>
      <c r="K878" s="1">
        <v>5.77</v>
      </c>
      <c r="L878" s="1">
        <v>21.64</v>
      </c>
      <c r="M878" s="1">
        <v>16.95</v>
      </c>
      <c r="N878" s="1">
        <v>14.93</v>
      </c>
      <c r="O878" s="1">
        <v>30.06</v>
      </c>
      <c r="P878" s="1">
        <v>29.34</v>
      </c>
      <c r="Q878" s="1">
        <v>8711.7999999999993</v>
      </c>
      <c r="R878" s="1">
        <v>46</v>
      </c>
      <c r="S878" s="1">
        <v>60.5</v>
      </c>
    </row>
    <row r="879" spans="1:19" ht="15">
      <c r="A879" s="1">
        <v>49</v>
      </c>
      <c r="B879" s="1" t="s">
        <v>74</v>
      </c>
      <c r="C879" s="1" t="s">
        <v>75</v>
      </c>
      <c r="D879" s="1">
        <v>2025</v>
      </c>
      <c r="E879" s="1" t="s">
        <v>22</v>
      </c>
      <c r="F879" s="1">
        <v>190822783</v>
      </c>
      <c r="G879" s="1">
        <v>95995338</v>
      </c>
      <c r="H879" s="1">
        <v>94827445</v>
      </c>
      <c r="I879" s="1">
        <v>12444186</v>
      </c>
      <c r="J879" s="1">
        <v>515475</v>
      </c>
      <c r="K879" s="1">
        <v>6.52</v>
      </c>
      <c r="L879" s="1">
        <v>20.96</v>
      </c>
      <c r="M879" s="1">
        <v>18.23</v>
      </c>
      <c r="N879" s="1">
        <v>12.63</v>
      </c>
      <c r="O879" s="1">
        <v>33.39</v>
      </c>
      <c r="P879" s="1">
        <v>30.98</v>
      </c>
      <c r="Q879" s="1">
        <v>688.67</v>
      </c>
      <c r="R879" s="1">
        <v>51</v>
      </c>
      <c r="S879" s="1">
        <v>69.099999999999994</v>
      </c>
    </row>
    <row r="880" spans="1:19" ht="15">
      <c r="A880" s="1">
        <v>49</v>
      </c>
      <c r="B880" s="1" t="s">
        <v>74</v>
      </c>
      <c r="C880" s="1" t="s">
        <v>75</v>
      </c>
      <c r="D880" s="1">
        <v>2025</v>
      </c>
      <c r="E880" s="1" t="s">
        <v>23</v>
      </c>
      <c r="F880" s="1">
        <v>171772091</v>
      </c>
      <c r="G880" s="1">
        <v>86744263</v>
      </c>
      <c r="H880" s="1">
        <v>85027828</v>
      </c>
      <c r="I880" s="1">
        <v>9204156</v>
      </c>
      <c r="J880" s="1">
        <v>702337</v>
      </c>
      <c r="K880" s="1">
        <v>5.36</v>
      </c>
      <c r="L880" s="1">
        <v>12.18</v>
      </c>
      <c r="M880" s="1">
        <v>28.65</v>
      </c>
      <c r="N880" s="1">
        <v>12.18</v>
      </c>
      <c r="O880" s="1">
        <v>28.94</v>
      </c>
      <c r="P880" s="1">
        <v>23.24</v>
      </c>
      <c r="Q880" s="1">
        <v>9085.65</v>
      </c>
      <c r="R880" s="1">
        <v>40</v>
      </c>
      <c r="S880" s="1">
        <v>75.8</v>
      </c>
    </row>
    <row r="881" spans="1:19" ht="15">
      <c r="A881" s="1">
        <v>49</v>
      </c>
      <c r="B881" s="1" t="s">
        <v>74</v>
      </c>
      <c r="C881" s="1" t="s">
        <v>75</v>
      </c>
      <c r="D881" s="1">
        <v>2026</v>
      </c>
      <c r="E881" s="1" t="s">
        <v>21</v>
      </c>
      <c r="F881" s="1">
        <v>9240049</v>
      </c>
      <c r="G881" s="1">
        <v>4615943</v>
      </c>
      <c r="H881" s="1">
        <v>4624106</v>
      </c>
      <c r="I881" s="1">
        <v>596723</v>
      </c>
      <c r="J881" s="1">
        <v>25664</v>
      </c>
      <c r="K881" s="1">
        <v>6.46</v>
      </c>
      <c r="L881" s="1">
        <v>25.07</v>
      </c>
      <c r="M881" s="1">
        <v>24.87</v>
      </c>
      <c r="N881" s="1">
        <v>13.05</v>
      </c>
      <c r="O881" s="1">
        <v>29.45</v>
      </c>
      <c r="P881" s="1">
        <v>26.83</v>
      </c>
      <c r="Q881" s="1">
        <v>5553.8</v>
      </c>
      <c r="R881" s="1">
        <v>41</v>
      </c>
      <c r="S881" s="1">
        <v>71.8</v>
      </c>
    </row>
    <row r="882" spans="1:19" ht="15">
      <c r="A882" s="1">
        <v>49</v>
      </c>
      <c r="B882" s="1" t="s">
        <v>74</v>
      </c>
      <c r="C882" s="1" t="s">
        <v>75</v>
      </c>
      <c r="D882" s="1">
        <v>2026</v>
      </c>
      <c r="E882" s="1" t="s">
        <v>22</v>
      </c>
      <c r="F882" s="1">
        <v>12293936</v>
      </c>
      <c r="G882" s="1">
        <v>5934930</v>
      </c>
      <c r="H882" s="1">
        <v>6359006</v>
      </c>
      <c r="I882" s="1">
        <v>695979</v>
      </c>
      <c r="J882" s="1">
        <v>41254</v>
      </c>
      <c r="K882" s="1">
        <v>5.66</v>
      </c>
      <c r="L882" s="1">
        <v>26.22</v>
      </c>
      <c r="M882" s="1">
        <v>17.989999999999998</v>
      </c>
      <c r="N882" s="1">
        <v>9.32</v>
      </c>
      <c r="O882" s="1">
        <v>24.53</v>
      </c>
      <c r="P882" s="1">
        <v>30.15</v>
      </c>
      <c r="Q882" s="1">
        <v>1059.44</v>
      </c>
      <c r="R882" s="1">
        <v>41</v>
      </c>
      <c r="S882" s="1">
        <v>63.4</v>
      </c>
    </row>
    <row r="883" spans="1:19" ht="15">
      <c r="A883" s="1">
        <v>49</v>
      </c>
      <c r="B883" s="1" t="s">
        <v>74</v>
      </c>
      <c r="C883" s="1" t="s">
        <v>75</v>
      </c>
      <c r="D883" s="1">
        <v>2026</v>
      </c>
      <c r="E883" s="1" t="s">
        <v>23</v>
      </c>
      <c r="F883" s="1">
        <v>183261297</v>
      </c>
      <c r="G883" s="1">
        <v>90544017</v>
      </c>
      <c r="H883" s="1">
        <v>92717280</v>
      </c>
      <c r="I883" s="1">
        <v>18220281</v>
      </c>
      <c r="J883" s="1">
        <v>1112028</v>
      </c>
      <c r="K883" s="1">
        <v>9.94</v>
      </c>
      <c r="L883" s="1">
        <v>15.83</v>
      </c>
      <c r="M883" s="1">
        <v>25.87</v>
      </c>
      <c r="N883" s="1">
        <v>14.61</v>
      </c>
      <c r="O883" s="1">
        <v>20.66</v>
      </c>
      <c r="P883" s="1">
        <v>38.17</v>
      </c>
      <c r="Q883" s="1">
        <v>9293.31</v>
      </c>
      <c r="R883" s="1">
        <v>76</v>
      </c>
      <c r="S883" s="1">
        <v>81.400000000000006</v>
      </c>
    </row>
    <row r="884" spans="1:19" ht="15">
      <c r="A884" s="1">
        <v>50</v>
      </c>
      <c r="B884" s="1" t="s">
        <v>76</v>
      </c>
      <c r="C884" s="1" t="s">
        <v>75</v>
      </c>
      <c r="D884" s="1">
        <v>2021</v>
      </c>
      <c r="E884" s="1" t="s">
        <v>21</v>
      </c>
      <c r="F884" s="1">
        <v>20349237</v>
      </c>
      <c r="G884" s="1">
        <v>10571385</v>
      </c>
      <c r="H884" s="1">
        <v>9777852</v>
      </c>
      <c r="I884" s="1">
        <v>1193700</v>
      </c>
      <c r="J884" s="1">
        <v>77957</v>
      </c>
      <c r="K884" s="1">
        <v>5.87</v>
      </c>
      <c r="L884" s="1">
        <v>11.79</v>
      </c>
      <c r="M884" s="1">
        <v>21.69</v>
      </c>
      <c r="N884" s="1">
        <v>14.32</v>
      </c>
      <c r="O884" s="1">
        <v>37.619999999999997</v>
      </c>
      <c r="P884" s="1">
        <v>30.22</v>
      </c>
      <c r="Q884" s="1">
        <v>5320.62</v>
      </c>
      <c r="R884" s="1">
        <v>75</v>
      </c>
      <c r="S884" s="1">
        <v>79.7</v>
      </c>
    </row>
    <row r="885" spans="1:19" ht="15">
      <c r="A885" s="1">
        <v>50</v>
      </c>
      <c r="B885" s="1" t="s">
        <v>76</v>
      </c>
      <c r="C885" s="1" t="s">
        <v>75</v>
      </c>
      <c r="D885" s="1">
        <v>2021</v>
      </c>
      <c r="E885" s="1" t="s">
        <v>22</v>
      </c>
      <c r="F885" s="1">
        <v>127959706</v>
      </c>
      <c r="G885" s="1">
        <v>61524836</v>
      </c>
      <c r="H885" s="1">
        <v>66434870</v>
      </c>
      <c r="I885" s="1">
        <v>7814157</v>
      </c>
      <c r="J885" s="1">
        <v>449669</v>
      </c>
      <c r="K885" s="1">
        <v>6.11</v>
      </c>
      <c r="L885" s="1">
        <v>19.22</v>
      </c>
      <c r="M885" s="1">
        <v>34.14</v>
      </c>
      <c r="N885" s="1">
        <v>9.09</v>
      </c>
      <c r="O885" s="1">
        <v>29.96</v>
      </c>
      <c r="P885" s="1">
        <v>22.29</v>
      </c>
      <c r="Q885" s="1">
        <v>3303.89</v>
      </c>
      <c r="R885" s="1">
        <v>58</v>
      </c>
      <c r="S885" s="1">
        <v>61</v>
      </c>
    </row>
    <row r="886" spans="1:19" ht="15">
      <c r="A886" s="1">
        <v>50</v>
      </c>
      <c r="B886" s="1" t="s">
        <v>76</v>
      </c>
      <c r="C886" s="1" t="s">
        <v>75</v>
      </c>
      <c r="D886" s="1">
        <v>2021</v>
      </c>
      <c r="E886" s="1" t="s">
        <v>23</v>
      </c>
      <c r="F886" s="1">
        <v>180293343</v>
      </c>
      <c r="G886" s="1">
        <v>93400651</v>
      </c>
      <c r="H886" s="1">
        <v>86892692</v>
      </c>
      <c r="I886" s="1">
        <v>12408744</v>
      </c>
      <c r="J886" s="1">
        <v>510941</v>
      </c>
      <c r="K886" s="1">
        <v>6.88</v>
      </c>
      <c r="L886" s="1">
        <v>21.03</v>
      </c>
      <c r="M886" s="1">
        <v>21.86</v>
      </c>
      <c r="N886" s="1">
        <v>12.08</v>
      </c>
      <c r="O886" s="1">
        <v>39.479999999999997</v>
      </c>
      <c r="P886" s="1">
        <v>21.09</v>
      </c>
      <c r="Q886" s="1">
        <v>6926.45</v>
      </c>
      <c r="R886" s="1">
        <v>46</v>
      </c>
      <c r="S886" s="1">
        <v>67.599999999999994</v>
      </c>
    </row>
    <row r="887" spans="1:19" ht="15">
      <c r="A887" s="1">
        <v>50</v>
      </c>
      <c r="B887" s="1" t="s">
        <v>76</v>
      </c>
      <c r="C887" s="1" t="s">
        <v>75</v>
      </c>
      <c r="D887" s="1">
        <v>2022</v>
      </c>
      <c r="E887" s="1" t="s">
        <v>21</v>
      </c>
      <c r="F887" s="1">
        <v>42338285</v>
      </c>
      <c r="G887" s="1">
        <v>20699995</v>
      </c>
      <c r="H887" s="1">
        <v>21638290</v>
      </c>
      <c r="I887" s="1">
        <v>3536872</v>
      </c>
      <c r="J887" s="1">
        <v>161066</v>
      </c>
      <c r="K887" s="1">
        <v>8.35</v>
      </c>
      <c r="L887" s="1">
        <v>27.03</v>
      </c>
      <c r="M887" s="1">
        <v>11.41</v>
      </c>
      <c r="N887" s="1">
        <v>12.58</v>
      </c>
      <c r="O887" s="1">
        <v>33.450000000000003</v>
      </c>
      <c r="P887" s="1">
        <v>36.99</v>
      </c>
      <c r="Q887" s="1">
        <v>705.77</v>
      </c>
      <c r="R887" s="1">
        <v>78</v>
      </c>
      <c r="S887" s="1">
        <v>68</v>
      </c>
    </row>
    <row r="888" spans="1:19" ht="15">
      <c r="A888" s="1">
        <v>50</v>
      </c>
      <c r="B888" s="1" t="s">
        <v>76</v>
      </c>
      <c r="C888" s="1" t="s">
        <v>75</v>
      </c>
      <c r="D888" s="1">
        <v>2022</v>
      </c>
      <c r="E888" s="1" t="s">
        <v>22</v>
      </c>
      <c r="F888" s="1">
        <v>184452814</v>
      </c>
      <c r="G888" s="1">
        <v>94019172</v>
      </c>
      <c r="H888" s="1">
        <v>90433642</v>
      </c>
      <c r="I888" s="1">
        <v>17560794</v>
      </c>
      <c r="J888" s="1">
        <v>1064515</v>
      </c>
      <c r="K888" s="1">
        <v>9.52</v>
      </c>
      <c r="L888" s="1">
        <v>10.42</v>
      </c>
      <c r="M888" s="1">
        <v>26.94</v>
      </c>
      <c r="N888" s="1">
        <v>11.59</v>
      </c>
      <c r="O888" s="1">
        <v>34.020000000000003</v>
      </c>
      <c r="P888" s="1">
        <v>28.54</v>
      </c>
      <c r="Q888" s="1">
        <v>11311.87</v>
      </c>
      <c r="R888" s="1">
        <v>44</v>
      </c>
      <c r="S888" s="1">
        <v>61.3</v>
      </c>
    </row>
    <row r="889" spans="1:19" ht="15">
      <c r="A889" s="1">
        <v>50</v>
      </c>
      <c r="B889" s="1" t="s">
        <v>76</v>
      </c>
      <c r="C889" s="1" t="s">
        <v>75</v>
      </c>
      <c r="D889" s="1">
        <v>2022</v>
      </c>
      <c r="E889" s="1" t="s">
        <v>23</v>
      </c>
      <c r="F889" s="1">
        <v>116640966</v>
      </c>
      <c r="G889" s="1">
        <v>58749757</v>
      </c>
      <c r="H889" s="1">
        <v>57891209</v>
      </c>
      <c r="I889" s="1">
        <v>10998966</v>
      </c>
      <c r="J889" s="1">
        <v>699685</v>
      </c>
      <c r="K889" s="1">
        <v>9.43</v>
      </c>
      <c r="L889" s="1">
        <v>10.130000000000001</v>
      </c>
      <c r="M889" s="1">
        <v>30.11</v>
      </c>
      <c r="N889" s="1">
        <v>11.45</v>
      </c>
      <c r="O889" s="1">
        <v>22.75</v>
      </c>
      <c r="P889" s="1">
        <v>30.18</v>
      </c>
      <c r="Q889" s="1">
        <v>6916.91</v>
      </c>
      <c r="R889" s="1">
        <v>75</v>
      </c>
      <c r="S889" s="1">
        <v>80.400000000000006</v>
      </c>
    </row>
    <row r="890" spans="1:19" ht="15">
      <c r="A890" s="1">
        <v>50</v>
      </c>
      <c r="B890" s="1" t="s">
        <v>76</v>
      </c>
      <c r="C890" s="1" t="s">
        <v>75</v>
      </c>
      <c r="D890" s="1">
        <v>2023</v>
      </c>
      <c r="E890" s="1" t="s">
        <v>21</v>
      </c>
      <c r="F890" s="1">
        <v>54753253</v>
      </c>
      <c r="G890" s="1">
        <v>28384727</v>
      </c>
      <c r="H890" s="1">
        <v>26368526</v>
      </c>
      <c r="I890" s="1">
        <v>5116927</v>
      </c>
      <c r="J890" s="1">
        <v>250523</v>
      </c>
      <c r="K890" s="1">
        <v>9.35</v>
      </c>
      <c r="L890" s="1">
        <v>23.32</v>
      </c>
      <c r="M890" s="1">
        <v>10.71</v>
      </c>
      <c r="N890" s="1">
        <v>12.96</v>
      </c>
      <c r="O890" s="1">
        <v>32.979999999999997</v>
      </c>
      <c r="P890" s="1">
        <v>39.770000000000003</v>
      </c>
      <c r="Q890" s="1">
        <v>3551.28</v>
      </c>
      <c r="R890" s="1">
        <v>77</v>
      </c>
      <c r="S890" s="1">
        <v>61.3</v>
      </c>
    </row>
    <row r="891" spans="1:19" ht="15">
      <c r="A891" s="1">
        <v>50</v>
      </c>
      <c r="B891" s="1" t="s">
        <v>76</v>
      </c>
      <c r="C891" s="1" t="s">
        <v>75</v>
      </c>
      <c r="D891" s="1">
        <v>2023</v>
      </c>
      <c r="E891" s="1" t="s">
        <v>22</v>
      </c>
      <c r="F891" s="1">
        <v>35904191</v>
      </c>
      <c r="G891" s="1">
        <v>18607555</v>
      </c>
      <c r="H891" s="1">
        <v>17296636</v>
      </c>
      <c r="I891" s="1">
        <v>3207309</v>
      </c>
      <c r="J891" s="1">
        <v>144686</v>
      </c>
      <c r="K891" s="1">
        <v>8.93</v>
      </c>
      <c r="L891" s="1">
        <v>29.09</v>
      </c>
      <c r="M891" s="1">
        <v>34.450000000000003</v>
      </c>
      <c r="N891" s="1">
        <v>12.81</v>
      </c>
      <c r="O891" s="1">
        <v>31.73</v>
      </c>
      <c r="P891" s="1">
        <v>21.22</v>
      </c>
      <c r="Q891" s="1">
        <v>7741.01</v>
      </c>
      <c r="R891" s="1">
        <v>77</v>
      </c>
      <c r="S891" s="1">
        <v>62.3</v>
      </c>
    </row>
    <row r="892" spans="1:19" ht="15">
      <c r="A892" s="1">
        <v>50</v>
      </c>
      <c r="B892" s="1" t="s">
        <v>76</v>
      </c>
      <c r="C892" s="1" t="s">
        <v>75</v>
      </c>
      <c r="D892" s="1">
        <v>2023</v>
      </c>
      <c r="E892" s="1" t="s">
        <v>23</v>
      </c>
      <c r="F892" s="1">
        <v>35098585</v>
      </c>
      <c r="G892" s="1">
        <v>17031970</v>
      </c>
      <c r="H892" s="1">
        <v>18066615</v>
      </c>
      <c r="I892" s="1">
        <v>1792518</v>
      </c>
      <c r="J892" s="1">
        <v>70918</v>
      </c>
      <c r="K892" s="1">
        <v>5.1100000000000003</v>
      </c>
      <c r="L892" s="1">
        <v>24.16</v>
      </c>
      <c r="M892" s="1">
        <v>27.67</v>
      </c>
      <c r="N892" s="1">
        <v>13.26</v>
      </c>
      <c r="O892" s="1">
        <v>24.94</v>
      </c>
      <c r="P892" s="1">
        <v>16.32</v>
      </c>
      <c r="Q892" s="1">
        <v>6853.91</v>
      </c>
      <c r="R892" s="1">
        <v>70</v>
      </c>
      <c r="S892" s="1">
        <v>67.7</v>
      </c>
    </row>
    <row r="893" spans="1:19" ht="15">
      <c r="A893" s="1">
        <v>50</v>
      </c>
      <c r="B893" s="1" t="s">
        <v>76</v>
      </c>
      <c r="C893" s="1" t="s">
        <v>75</v>
      </c>
      <c r="D893" s="1">
        <v>2024</v>
      </c>
      <c r="E893" s="1" t="s">
        <v>21</v>
      </c>
      <c r="F893" s="1">
        <v>142671098</v>
      </c>
      <c r="G893" s="1">
        <v>72393548</v>
      </c>
      <c r="H893" s="1">
        <v>70277550</v>
      </c>
      <c r="I893" s="1">
        <v>13920491</v>
      </c>
      <c r="J893" s="1">
        <v>508609</v>
      </c>
      <c r="K893" s="1">
        <v>9.76</v>
      </c>
      <c r="L893" s="1">
        <v>20.93</v>
      </c>
      <c r="M893" s="1">
        <v>24.04</v>
      </c>
      <c r="N893" s="1">
        <v>5.61</v>
      </c>
      <c r="O893" s="1">
        <v>38.549999999999997</v>
      </c>
      <c r="P893" s="1">
        <v>15.53</v>
      </c>
      <c r="Q893" s="1">
        <v>10862.98</v>
      </c>
      <c r="R893" s="1">
        <v>63</v>
      </c>
      <c r="S893" s="1">
        <v>80.5</v>
      </c>
    </row>
    <row r="894" spans="1:19" ht="15">
      <c r="A894" s="1">
        <v>50</v>
      </c>
      <c r="B894" s="1" t="s">
        <v>76</v>
      </c>
      <c r="C894" s="1" t="s">
        <v>75</v>
      </c>
      <c r="D894" s="1">
        <v>2024</v>
      </c>
      <c r="E894" s="1" t="s">
        <v>22</v>
      </c>
      <c r="F894" s="1">
        <v>74357092</v>
      </c>
      <c r="G894" s="1">
        <v>37595814</v>
      </c>
      <c r="H894" s="1">
        <v>36761278</v>
      </c>
      <c r="I894" s="1">
        <v>7169694</v>
      </c>
      <c r="J894" s="1">
        <v>429578</v>
      </c>
      <c r="K894" s="1">
        <v>9.64</v>
      </c>
      <c r="L894" s="1">
        <v>11.87</v>
      </c>
      <c r="M894" s="1">
        <v>19.170000000000002</v>
      </c>
      <c r="N894" s="1">
        <v>8.77</v>
      </c>
      <c r="O894" s="1">
        <v>31.21</v>
      </c>
      <c r="P894" s="1">
        <v>16.190000000000001</v>
      </c>
      <c r="Q894" s="1">
        <v>8249.4500000000007</v>
      </c>
      <c r="R894" s="1">
        <v>65</v>
      </c>
      <c r="S894" s="1">
        <v>68.099999999999994</v>
      </c>
    </row>
    <row r="895" spans="1:19" ht="15">
      <c r="A895" s="1">
        <v>50</v>
      </c>
      <c r="B895" s="1" t="s">
        <v>76</v>
      </c>
      <c r="C895" s="1" t="s">
        <v>75</v>
      </c>
      <c r="D895" s="1">
        <v>2024</v>
      </c>
      <c r="E895" s="1" t="s">
        <v>23</v>
      </c>
      <c r="F895" s="1">
        <v>198904395</v>
      </c>
      <c r="G895" s="1">
        <v>101164797</v>
      </c>
      <c r="H895" s="1">
        <v>97739598</v>
      </c>
      <c r="I895" s="1">
        <v>18576760</v>
      </c>
      <c r="J895" s="1">
        <v>828603</v>
      </c>
      <c r="K895" s="1">
        <v>9.34</v>
      </c>
      <c r="L895" s="1">
        <v>23.16</v>
      </c>
      <c r="M895" s="1">
        <v>19.100000000000001</v>
      </c>
      <c r="N895" s="1">
        <v>14.14</v>
      </c>
      <c r="O895" s="1">
        <v>24.01</v>
      </c>
      <c r="P895" s="1">
        <v>30.99</v>
      </c>
      <c r="Q895" s="1">
        <v>700.86</v>
      </c>
      <c r="R895" s="1">
        <v>60</v>
      </c>
      <c r="S895" s="1">
        <v>63.8</v>
      </c>
    </row>
    <row r="896" spans="1:19" ht="15">
      <c r="A896" s="1">
        <v>50</v>
      </c>
      <c r="B896" s="1" t="s">
        <v>76</v>
      </c>
      <c r="C896" s="1" t="s">
        <v>75</v>
      </c>
      <c r="D896" s="1">
        <v>2025</v>
      </c>
      <c r="E896" s="1" t="s">
        <v>21</v>
      </c>
      <c r="F896" s="1">
        <v>95560290</v>
      </c>
      <c r="G896" s="1">
        <v>46795169</v>
      </c>
      <c r="H896" s="1">
        <v>48765121</v>
      </c>
      <c r="I896" s="1">
        <v>7912043</v>
      </c>
      <c r="J896" s="1">
        <v>284014</v>
      </c>
      <c r="K896" s="1">
        <v>8.2799999999999994</v>
      </c>
      <c r="L896" s="1">
        <v>16.47</v>
      </c>
      <c r="M896" s="1">
        <v>21.67</v>
      </c>
      <c r="N896" s="1">
        <v>5.42</v>
      </c>
      <c r="O896" s="1">
        <v>24.09</v>
      </c>
      <c r="P896" s="1">
        <v>31.27</v>
      </c>
      <c r="Q896" s="1">
        <v>8785</v>
      </c>
      <c r="R896" s="1">
        <v>49</v>
      </c>
      <c r="S896" s="1">
        <v>67.400000000000006</v>
      </c>
    </row>
    <row r="897" spans="1:19" ht="15">
      <c r="A897" s="1">
        <v>50</v>
      </c>
      <c r="B897" s="1" t="s">
        <v>76</v>
      </c>
      <c r="C897" s="1" t="s">
        <v>75</v>
      </c>
      <c r="D897" s="1">
        <v>2025</v>
      </c>
      <c r="E897" s="1" t="s">
        <v>22</v>
      </c>
      <c r="F897" s="1">
        <v>116112551</v>
      </c>
      <c r="G897" s="1">
        <v>57587337</v>
      </c>
      <c r="H897" s="1">
        <v>58525214</v>
      </c>
      <c r="I897" s="1">
        <v>8712486</v>
      </c>
      <c r="J897" s="1">
        <v>533393</v>
      </c>
      <c r="K897" s="1">
        <v>7.5</v>
      </c>
      <c r="L897" s="1">
        <v>26.26</v>
      </c>
      <c r="M897" s="1">
        <v>20</v>
      </c>
      <c r="N897" s="1">
        <v>8.3000000000000007</v>
      </c>
      <c r="O897" s="1">
        <v>24.48</v>
      </c>
      <c r="P897" s="1">
        <v>33.26</v>
      </c>
      <c r="Q897" s="1">
        <v>10987.24</v>
      </c>
      <c r="R897" s="1">
        <v>49</v>
      </c>
      <c r="S897" s="1">
        <v>75.3</v>
      </c>
    </row>
    <row r="898" spans="1:19" ht="15">
      <c r="A898" s="1">
        <v>50</v>
      </c>
      <c r="B898" s="1" t="s">
        <v>76</v>
      </c>
      <c r="C898" s="1" t="s">
        <v>75</v>
      </c>
      <c r="D898" s="1">
        <v>2025</v>
      </c>
      <c r="E898" s="1" t="s">
        <v>23</v>
      </c>
      <c r="F898" s="1">
        <v>133484631</v>
      </c>
      <c r="G898" s="1">
        <v>64922954</v>
      </c>
      <c r="H898" s="1">
        <v>68561677</v>
      </c>
      <c r="I898" s="1">
        <v>8919592</v>
      </c>
      <c r="J898" s="1">
        <v>514125</v>
      </c>
      <c r="K898" s="1">
        <v>6.68</v>
      </c>
      <c r="L898" s="1">
        <v>26.43</v>
      </c>
      <c r="M898" s="1">
        <v>29.05</v>
      </c>
      <c r="N898" s="1">
        <v>5.8</v>
      </c>
      <c r="O898" s="1">
        <v>29.86</v>
      </c>
      <c r="P898" s="1">
        <v>24.34</v>
      </c>
      <c r="Q898" s="1">
        <v>11298.47</v>
      </c>
      <c r="R898" s="1">
        <v>56</v>
      </c>
      <c r="S898" s="1">
        <v>69.2</v>
      </c>
    </row>
    <row r="899" spans="1:19" ht="15">
      <c r="A899" s="1">
        <v>50</v>
      </c>
      <c r="B899" s="1" t="s">
        <v>76</v>
      </c>
      <c r="C899" s="1" t="s">
        <v>75</v>
      </c>
      <c r="D899" s="1">
        <v>2026</v>
      </c>
      <c r="E899" s="1" t="s">
        <v>21</v>
      </c>
      <c r="F899" s="1">
        <v>9176764</v>
      </c>
      <c r="G899" s="1">
        <v>4689838</v>
      </c>
      <c r="H899" s="1">
        <v>4486926</v>
      </c>
      <c r="I899" s="1">
        <v>631254</v>
      </c>
      <c r="J899" s="1">
        <v>24930</v>
      </c>
      <c r="K899" s="1">
        <v>6.88</v>
      </c>
      <c r="L899" s="1">
        <v>10.42</v>
      </c>
      <c r="M899" s="1">
        <v>14.87</v>
      </c>
      <c r="N899" s="1">
        <v>9.82</v>
      </c>
      <c r="O899" s="1">
        <v>25.91</v>
      </c>
      <c r="P899" s="1">
        <v>26.29</v>
      </c>
      <c r="Q899" s="1">
        <v>5658.81</v>
      </c>
      <c r="R899" s="1">
        <v>60</v>
      </c>
      <c r="S899" s="1">
        <v>60</v>
      </c>
    </row>
    <row r="900" spans="1:19" ht="15">
      <c r="A900" s="1">
        <v>50</v>
      </c>
      <c r="B900" s="1" t="s">
        <v>76</v>
      </c>
      <c r="C900" s="1" t="s">
        <v>75</v>
      </c>
      <c r="D900" s="1">
        <v>2026</v>
      </c>
      <c r="E900" s="1" t="s">
        <v>22</v>
      </c>
      <c r="F900" s="1">
        <v>195456305</v>
      </c>
      <c r="G900" s="1">
        <v>94198731</v>
      </c>
      <c r="H900" s="1">
        <v>101257574</v>
      </c>
      <c r="I900" s="1">
        <v>16269443</v>
      </c>
      <c r="J900" s="1">
        <v>1297603</v>
      </c>
      <c r="K900" s="1">
        <v>8.32</v>
      </c>
      <c r="L900" s="1">
        <v>10.45</v>
      </c>
      <c r="M900" s="1">
        <v>31.83</v>
      </c>
      <c r="N900" s="1">
        <v>5.88</v>
      </c>
      <c r="O900" s="1">
        <v>22.44</v>
      </c>
      <c r="P900" s="1">
        <v>20.87</v>
      </c>
      <c r="Q900" s="1">
        <v>1033.73</v>
      </c>
      <c r="R900" s="1">
        <v>75</v>
      </c>
      <c r="S900" s="1">
        <v>74.3</v>
      </c>
    </row>
    <row r="901" spans="1:19" ht="15">
      <c r="A901" s="1">
        <v>50</v>
      </c>
      <c r="B901" s="1" t="s">
        <v>76</v>
      </c>
      <c r="C901" s="1" t="s">
        <v>75</v>
      </c>
      <c r="D901" s="1">
        <v>2026</v>
      </c>
      <c r="E901" s="1" t="s">
        <v>23</v>
      </c>
      <c r="F901" s="1">
        <v>97520507</v>
      </c>
      <c r="G901" s="1">
        <v>47324781</v>
      </c>
      <c r="H901" s="1">
        <v>50195726</v>
      </c>
      <c r="I901" s="1">
        <v>8410681</v>
      </c>
      <c r="J901" s="1">
        <v>664624</v>
      </c>
      <c r="K901" s="1">
        <v>8.6199999999999992</v>
      </c>
      <c r="L901" s="1">
        <v>18.86</v>
      </c>
      <c r="M901" s="1">
        <v>10.28</v>
      </c>
      <c r="N901" s="1">
        <v>6.7</v>
      </c>
      <c r="O901" s="1">
        <v>32.94</v>
      </c>
      <c r="P901" s="1">
        <v>39.67</v>
      </c>
      <c r="Q901" s="1">
        <v>2670.58</v>
      </c>
      <c r="R901" s="1">
        <v>77</v>
      </c>
      <c r="S901" s="1">
        <v>70.3</v>
      </c>
    </row>
    <row r="902" spans="1:19" ht="15">
      <c r="A902" s="1">
        <v>51</v>
      </c>
      <c r="B902" s="1" t="s">
        <v>77</v>
      </c>
      <c r="C902" s="1" t="s">
        <v>78</v>
      </c>
      <c r="D902" s="1">
        <v>2021</v>
      </c>
      <c r="E902" s="1" t="s">
        <v>21</v>
      </c>
      <c r="F902" s="1">
        <v>14830013</v>
      </c>
      <c r="G902" s="1">
        <v>7547980</v>
      </c>
      <c r="H902" s="1">
        <v>7282033</v>
      </c>
      <c r="I902" s="1">
        <v>1278759</v>
      </c>
      <c r="J902" s="1">
        <v>55183</v>
      </c>
      <c r="K902" s="1">
        <v>8.6199999999999992</v>
      </c>
      <c r="L902" s="1">
        <v>16.7</v>
      </c>
      <c r="M902" s="1">
        <v>25.79</v>
      </c>
      <c r="N902" s="1">
        <v>6.22</v>
      </c>
      <c r="O902" s="1">
        <v>36.24</v>
      </c>
      <c r="P902" s="1">
        <v>25.83</v>
      </c>
      <c r="Q902" s="1">
        <v>1524.15</v>
      </c>
      <c r="R902" s="1">
        <v>47</v>
      </c>
      <c r="S902" s="1">
        <v>61.5</v>
      </c>
    </row>
    <row r="903" spans="1:19" ht="15">
      <c r="A903" s="1">
        <v>51</v>
      </c>
      <c r="B903" s="1" t="s">
        <v>77</v>
      </c>
      <c r="C903" s="1" t="s">
        <v>78</v>
      </c>
      <c r="D903" s="1">
        <v>2021</v>
      </c>
      <c r="E903" s="1" t="s">
        <v>22</v>
      </c>
      <c r="F903" s="1">
        <v>46869487</v>
      </c>
      <c r="G903" s="1">
        <v>23420792</v>
      </c>
      <c r="H903" s="1">
        <v>23448695</v>
      </c>
      <c r="I903" s="1">
        <v>3266032</v>
      </c>
      <c r="J903" s="1">
        <v>152734</v>
      </c>
      <c r="K903" s="1">
        <v>6.97</v>
      </c>
      <c r="L903" s="1">
        <v>26.82</v>
      </c>
      <c r="M903" s="1">
        <v>11.89</v>
      </c>
      <c r="N903" s="1">
        <v>10.02</v>
      </c>
      <c r="O903" s="1">
        <v>30.08</v>
      </c>
      <c r="P903" s="1">
        <v>36.409999999999997</v>
      </c>
      <c r="Q903" s="1">
        <v>3867.15</v>
      </c>
      <c r="R903" s="1">
        <v>83</v>
      </c>
      <c r="S903" s="1">
        <v>75.2</v>
      </c>
    </row>
    <row r="904" spans="1:19" ht="15">
      <c r="A904" s="1">
        <v>51</v>
      </c>
      <c r="B904" s="1" t="s">
        <v>77</v>
      </c>
      <c r="C904" s="1" t="s">
        <v>78</v>
      </c>
      <c r="D904" s="1">
        <v>2021</v>
      </c>
      <c r="E904" s="1" t="s">
        <v>23</v>
      </c>
      <c r="F904" s="1">
        <v>43106205</v>
      </c>
      <c r="G904" s="1">
        <v>21099512</v>
      </c>
      <c r="H904" s="1">
        <v>22006693</v>
      </c>
      <c r="I904" s="1">
        <v>2212394</v>
      </c>
      <c r="J904" s="1">
        <v>75009</v>
      </c>
      <c r="K904" s="1">
        <v>5.13</v>
      </c>
      <c r="L904" s="1">
        <v>12.15</v>
      </c>
      <c r="M904" s="1">
        <v>22.96</v>
      </c>
      <c r="N904" s="1">
        <v>10.82</v>
      </c>
      <c r="O904" s="1">
        <v>36.1</v>
      </c>
      <c r="P904" s="1">
        <v>35.159999999999997</v>
      </c>
      <c r="Q904" s="1">
        <v>973.92</v>
      </c>
      <c r="R904" s="1">
        <v>63</v>
      </c>
      <c r="S904" s="1">
        <v>68.099999999999994</v>
      </c>
    </row>
    <row r="905" spans="1:19" ht="15">
      <c r="A905" s="1">
        <v>51</v>
      </c>
      <c r="B905" s="1" t="s">
        <v>77</v>
      </c>
      <c r="C905" s="1" t="s">
        <v>78</v>
      </c>
      <c r="D905" s="1">
        <v>2022</v>
      </c>
      <c r="E905" s="1" t="s">
        <v>21</v>
      </c>
      <c r="F905" s="1">
        <v>65517684</v>
      </c>
      <c r="G905" s="1">
        <v>31898996</v>
      </c>
      <c r="H905" s="1">
        <v>33618688</v>
      </c>
      <c r="I905" s="1">
        <v>5818756</v>
      </c>
      <c r="J905" s="1">
        <v>305977</v>
      </c>
      <c r="K905" s="1">
        <v>8.8800000000000008</v>
      </c>
      <c r="L905" s="1">
        <v>11.7</v>
      </c>
      <c r="M905" s="1">
        <v>28.32</v>
      </c>
      <c r="N905" s="1">
        <v>12.05</v>
      </c>
      <c r="O905" s="1">
        <v>26.98</v>
      </c>
      <c r="P905" s="1">
        <v>32.25</v>
      </c>
      <c r="Q905" s="1">
        <v>1241.03</v>
      </c>
      <c r="R905" s="1">
        <v>41</v>
      </c>
      <c r="S905" s="1">
        <v>73.8</v>
      </c>
    </row>
    <row r="906" spans="1:19" ht="15">
      <c r="A906" s="1">
        <v>51</v>
      </c>
      <c r="B906" s="1" t="s">
        <v>77</v>
      </c>
      <c r="C906" s="1" t="s">
        <v>78</v>
      </c>
      <c r="D906" s="1">
        <v>2022</v>
      </c>
      <c r="E906" s="1" t="s">
        <v>22</v>
      </c>
      <c r="F906" s="1">
        <v>21350186</v>
      </c>
      <c r="G906" s="1">
        <v>10324806</v>
      </c>
      <c r="H906" s="1">
        <v>11025380</v>
      </c>
      <c r="I906" s="1">
        <v>1714797</v>
      </c>
      <c r="J906" s="1">
        <v>93047</v>
      </c>
      <c r="K906" s="1">
        <v>8.0299999999999994</v>
      </c>
      <c r="L906" s="1">
        <v>26.93</v>
      </c>
      <c r="M906" s="1">
        <v>10.17</v>
      </c>
      <c r="N906" s="1">
        <v>5.95</v>
      </c>
      <c r="O906" s="1">
        <v>23.98</v>
      </c>
      <c r="P906" s="1">
        <v>22.2</v>
      </c>
      <c r="Q906" s="1">
        <v>11951.56</v>
      </c>
      <c r="R906" s="1">
        <v>52</v>
      </c>
      <c r="S906" s="1">
        <v>76.8</v>
      </c>
    </row>
    <row r="907" spans="1:19" ht="15">
      <c r="A907" s="1">
        <v>51</v>
      </c>
      <c r="B907" s="1" t="s">
        <v>77</v>
      </c>
      <c r="C907" s="1" t="s">
        <v>78</v>
      </c>
      <c r="D907" s="1">
        <v>2022</v>
      </c>
      <c r="E907" s="1" t="s">
        <v>23</v>
      </c>
      <c r="F907" s="1">
        <v>6211140</v>
      </c>
      <c r="G907" s="1">
        <v>3012139</v>
      </c>
      <c r="H907" s="1">
        <v>3199001</v>
      </c>
      <c r="I907" s="1">
        <v>373686</v>
      </c>
      <c r="J907" s="1">
        <v>13365</v>
      </c>
      <c r="K907" s="1">
        <v>6.02</v>
      </c>
      <c r="L907" s="1">
        <v>17.72</v>
      </c>
      <c r="M907" s="1">
        <v>17.84</v>
      </c>
      <c r="N907" s="1">
        <v>6.13</v>
      </c>
      <c r="O907" s="1">
        <v>36.549999999999997</v>
      </c>
      <c r="P907" s="1">
        <v>36.85</v>
      </c>
      <c r="Q907" s="1">
        <v>5163.58</v>
      </c>
      <c r="R907" s="1">
        <v>78</v>
      </c>
      <c r="S907" s="1">
        <v>60.9</v>
      </c>
    </row>
    <row r="908" spans="1:19" ht="15">
      <c r="A908" s="1">
        <v>51</v>
      </c>
      <c r="B908" s="1" t="s">
        <v>77</v>
      </c>
      <c r="C908" s="1" t="s">
        <v>78</v>
      </c>
      <c r="D908" s="1">
        <v>2023</v>
      </c>
      <c r="E908" s="1" t="s">
        <v>21</v>
      </c>
      <c r="F908" s="1">
        <v>30405582</v>
      </c>
      <c r="G908" s="1">
        <v>14827356</v>
      </c>
      <c r="H908" s="1">
        <v>15578226</v>
      </c>
      <c r="I908" s="1">
        <v>2638006</v>
      </c>
      <c r="J908" s="1">
        <v>199439</v>
      </c>
      <c r="K908" s="1">
        <v>8.68</v>
      </c>
      <c r="L908" s="1">
        <v>17.86</v>
      </c>
      <c r="M908" s="1">
        <v>24.65</v>
      </c>
      <c r="N908" s="1">
        <v>12.1</v>
      </c>
      <c r="O908" s="1">
        <v>29.74</v>
      </c>
      <c r="P908" s="1">
        <v>31.52</v>
      </c>
      <c r="Q908" s="1">
        <v>5901.71</v>
      </c>
      <c r="R908" s="1">
        <v>56</v>
      </c>
      <c r="S908" s="1">
        <v>62.7</v>
      </c>
    </row>
    <row r="909" spans="1:19" ht="15">
      <c r="A909" s="1">
        <v>51</v>
      </c>
      <c r="B909" s="1" t="s">
        <v>77</v>
      </c>
      <c r="C909" s="1" t="s">
        <v>78</v>
      </c>
      <c r="D909" s="1">
        <v>2023</v>
      </c>
      <c r="E909" s="1" t="s">
        <v>22</v>
      </c>
      <c r="F909" s="1">
        <v>125135307</v>
      </c>
      <c r="G909" s="1">
        <v>63965210</v>
      </c>
      <c r="H909" s="1">
        <v>61170097</v>
      </c>
      <c r="I909" s="1">
        <v>9707050</v>
      </c>
      <c r="J909" s="1">
        <v>389750</v>
      </c>
      <c r="K909" s="1">
        <v>7.76</v>
      </c>
      <c r="L909" s="1">
        <v>18.73</v>
      </c>
      <c r="M909" s="1">
        <v>29.43</v>
      </c>
      <c r="N909" s="1">
        <v>9.51</v>
      </c>
      <c r="O909" s="1">
        <v>32.630000000000003</v>
      </c>
      <c r="P909" s="1">
        <v>17.91</v>
      </c>
      <c r="Q909" s="1">
        <v>4177.8</v>
      </c>
      <c r="R909" s="1">
        <v>66</v>
      </c>
      <c r="S909" s="1">
        <v>73.2</v>
      </c>
    </row>
    <row r="910" spans="1:19" ht="15">
      <c r="A910" s="1">
        <v>51</v>
      </c>
      <c r="B910" s="1" t="s">
        <v>77</v>
      </c>
      <c r="C910" s="1" t="s">
        <v>78</v>
      </c>
      <c r="D910" s="1">
        <v>2023</v>
      </c>
      <c r="E910" s="1" t="s">
        <v>23</v>
      </c>
      <c r="F910" s="1">
        <v>96809285</v>
      </c>
      <c r="G910" s="1">
        <v>46589667</v>
      </c>
      <c r="H910" s="1">
        <v>50219618</v>
      </c>
      <c r="I910" s="1">
        <v>5543762</v>
      </c>
      <c r="J910" s="1">
        <v>394818</v>
      </c>
      <c r="K910" s="1">
        <v>5.73</v>
      </c>
      <c r="L910" s="1">
        <v>16.760000000000002</v>
      </c>
      <c r="M910" s="1">
        <v>27.12</v>
      </c>
      <c r="N910" s="1">
        <v>8.3699999999999992</v>
      </c>
      <c r="O910" s="1">
        <v>21.51</v>
      </c>
      <c r="P910" s="1">
        <v>19.149999999999999</v>
      </c>
      <c r="Q910" s="1">
        <v>810.28</v>
      </c>
      <c r="R910" s="1">
        <v>50</v>
      </c>
      <c r="S910" s="1">
        <v>64.5</v>
      </c>
    </row>
    <row r="911" spans="1:19" ht="15">
      <c r="A911" s="1">
        <v>51</v>
      </c>
      <c r="B911" s="1" t="s">
        <v>77</v>
      </c>
      <c r="C911" s="1" t="s">
        <v>78</v>
      </c>
      <c r="D911" s="1">
        <v>2024</v>
      </c>
      <c r="E911" s="1" t="s">
        <v>21</v>
      </c>
      <c r="F911" s="1">
        <v>77566678</v>
      </c>
      <c r="G911" s="1">
        <v>39673376</v>
      </c>
      <c r="H911" s="1">
        <v>37893302</v>
      </c>
      <c r="I911" s="1">
        <v>4085598</v>
      </c>
      <c r="J911" s="1">
        <v>268645</v>
      </c>
      <c r="K911" s="1">
        <v>5.27</v>
      </c>
      <c r="L911" s="1">
        <v>23.43</v>
      </c>
      <c r="M911" s="1">
        <v>22.29</v>
      </c>
      <c r="N911" s="1">
        <v>9.7200000000000006</v>
      </c>
      <c r="O911" s="1">
        <v>23.62</v>
      </c>
      <c r="P911" s="1">
        <v>23.23</v>
      </c>
      <c r="Q911" s="1">
        <v>9439.82</v>
      </c>
      <c r="R911" s="1">
        <v>68</v>
      </c>
      <c r="S911" s="1">
        <v>74.400000000000006</v>
      </c>
    </row>
    <row r="912" spans="1:19" ht="15">
      <c r="A912" s="1">
        <v>51</v>
      </c>
      <c r="B912" s="1" t="s">
        <v>77</v>
      </c>
      <c r="C912" s="1" t="s">
        <v>78</v>
      </c>
      <c r="D912" s="1">
        <v>2024</v>
      </c>
      <c r="E912" s="1" t="s">
        <v>22</v>
      </c>
      <c r="F912" s="1">
        <v>39500020</v>
      </c>
      <c r="G912" s="1">
        <v>20139957</v>
      </c>
      <c r="H912" s="1">
        <v>19360063</v>
      </c>
      <c r="I912" s="1">
        <v>3811945</v>
      </c>
      <c r="J912" s="1">
        <v>123608</v>
      </c>
      <c r="K912" s="1">
        <v>9.65</v>
      </c>
      <c r="L912" s="1">
        <v>20.8</v>
      </c>
      <c r="M912" s="1">
        <v>12.38</v>
      </c>
      <c r="N912" s="1">
        <v>13.87</v>
      </c>
      <c r="O912" s="1">
        <v>39.07</v>
      </c>
      <c r="P912" s="1">
        <v>16.399999999999999</v>
      </c>
      <c r="Q912" s="1">
        <v>1641.07</v>
      </c>
      <c r="R912" s="1">
        <v>43</v>
      </c>
      <c r="S912" s="1">
        <v>77.8</v>
      </c>
    </row>
    <row r="913" spans="1:19" ht="15">
      <c r="A913" s="1">
        <v>51</v>
      </c>
      <c r="B913" s="1" t="s">
        <v>77</v>
      </c>
      <c r="C913" s="1" t="s">
        <v>78</v>
      </c>
      <c r="D913" s="1">
        <v>2024</v>
      </c>
      <c r="E913" s="1" t="s">
        <v>23</v>
      </c>
      <c r="F913" s="1">
        <v>92074161</v>
      </c>
      <c r="G913" s="1">
        <v>46464408</v>
      </c>
      <c r="H913" s="1">
        <v>45609753</v>
      </c>
      <c r="I913" s="1">
        <v>6130851</v>
      </c>
      <c r="J913" s="1">
        <v>366882</v>
      </c>
      <c r="K913" s="1">
        <v>6.66</v>
      </c>
      <c r="L913" s="1">
        <v>25.96</v>
      </c>
      <c r="M913" s="1">
        <v>33.04</v>
      </c>
      <c r="N913" s="1">
        <v>6.38</v>
      </c>
      <c r="O913" s="1">
        <v>36.86</v>
      </c>
      <c r="P913" s="1">
        <v>31.2</v>
      </c>
      <c r="Q913" s="1">
        <v>6667.49</v>
      </c>
      <c r="R913" s="1">
        <v>83</v>
      </c>
      <c r="S913" s="1">
        <v>71.7</v>
      </c>
    </row>
    <row r="914" spans="1:19" ht="15">
      <c r="A914" s="1">
        <v>51</v>
      </c>
      <c r="B914" s="1" t="s">
        <v>77</v>
      </c>
      <c r="C914" s="1" t="s">
        <v>78</v>
      </c>
      <c r="D914" s="1">
        <v>2025</v>
      </c>
      <c r="E914" s="1" t="s">
        <v>21</v>
      </c>
      <c r="F914" s="1">
        <v>88714616</v>
      </c>
      <c r="G914" s="1">
        <v>44210840</v>
      </c>
      <c r="H914" s="1">
        <v>44503776</v>
      </c>
      <c r="I914" s="1">
        <v>7410734</v>
      </c>
      <c r="J914" s="1">
        <v>560263</v>
      </c>
      <c r="K914" s="1">
        <v>8.35</v>
      </c>
      <c r="L914" s="1">
        <v>14.74</v>
      </c>
      <c r="M914" s="1">
        <v>10.050000000000001</v>
      </c>
      <c r="N914" s="1">
        <v>5.26</v>
      </c>
      <c r="O914" s="1">
        <v>38.229999999999997</v>
      </c>
      <c r="P914" s="1">
        <v>38.22</v>
      </c>
      <c r="Q914" s="1">
        <v>10564.21</v>
      </c>
      <c r="R914" s="1">
        <v>64</v>
      </c>
      <c r="S914" s="1">
        <v>73.5</v>
      </c>
    </row>
    <row r="915" spans="1:19" ht="15">
      <c r="A915" s="1">
        <v>51</v>
      </c>
      <c r="B915" s="1" t="s">
        <v>77</v>
      </c>
      <c r="C915" s="1" t="s">
        <v>78</v>
      </c>
      <c r="D915" s="1">
        <v>2025</v>
      </c>
      <c r="E915" s="1" t="s">
        <v>22</v>
      </c>
      <c r="F915" s="1">
        <v>116912151</v>
      </c>
      <c r="G915" s="1">
        <v>58006713</v>
      </c>
      <c r="H915" s="1">
        <v>58905438</v>
      </c>
      <c r="I915" s="1">
        <v>7820368</v>
      </c>
      <c r="J915" s="1">
        <v>599518</v>
      </c>
      <c r="K915" s="1">
        <v>6.69</v>
      </c>
      <c r="L915" s="1">
        <v>20.61</v>
      </c>
      <c r="M915" s="1">
        <v>16.88</v>
      </c>
      <c r="N915" s="1">
        <v>11.57</v>
      </c>
      <c r="O915" s="1">
        <v>21.83</v>
      </c>
      <c r="P915" s="1">
        <v>32.090000000000003</v>
      </c>
      <c r="Q915" s="1">
        <v>3632.73</v>
      </c>
      <c r="R915" s="1">
        <v>65</v>
      </c>
      <c r="S915" s="1">
        <v>71.099999999999994</v>
      </c>
    </row>
    <row r="916" spans="1:19" ht="15">
      <c r="A916" s="1">
        <v>51</v>
      </c>
      <c r="B916" s="1" t="s">
        <v>77</v>
      </c>
      <c r="C916" s="1" t="s">
        <v>78</v>
      </c>
      <c r="D916" s="1">
        <v>2025</v>
      </c>
      <c r="E916" s="1" t="s">
        <v>23</v>
      </c>
      <c r="F916" s="1">
        <v>139128757</v>
      </c>
      <c r="G916" s="1">
        <v>71574419</v>
      </c>
      <c r="H916" s="1">
        <v>67554338</v>
      </c>
      <c r="I916" s="1">
        <v>12219827</v>
      </c>
      <c r="J916" s="1">
        <v>967358</v>
      </c>
      <c r="K916" s="1">
        <v>8.7799999999999994</v>
      </c>
      <c r="L916" s="1">
        <v>21.61</v>
      </c>
      <c r="M916" s="1">
        <v>30.66</v>
      </c>
      <c r="N916" s="1">
        <v>11.59</v>
      </c>
      <c r="O916" s="1">
        <v>34.729999999999997</v>
      </c>
      <c r="P916" s="1">
        <v>37.39</v>
      </c>
      <c r="Q916" s="1">
        <v>4098.66</v>
      </c>
      <c r="R916" s="1">
        <v>82</v>
      </c>
      <c r="S916" s="1">
        <v>81.3</v>
      </c>
    </row>
    <row r="917" spans="1:19" ht="15">
      <c r="A917" s="1">
        <v>51</v>
      </c>
      <c r="B917" s="1" t="s">
        <v>77</v>
      </c>
      <c r="C917" s="1" t="s">
        <v>78</v>
      </c>
      <c r="D917" s="1">
        <v>2026</v>
      </c>
      <c r="E917" s="1" t="s">
        <v>21</v>
      </c>
      <c r="F917" s="1">
        <v>159438678</v>
      </c>
      <c r="G917" s="1">
        <v>82838051</v>
      </c>
      <c r="H917" s="1">
        <v>76600627</v>
      </c>
      <c r="I917" s="1">
        <v>9134385</v>
      </c>
      <c r="J917" s="1">
        <v>402473</v>
      </c>
      <c r="K917" s="1">
        <v>5.73</v>
      </c>
      <c r="L917" s="1">
        <v>18.489999999999998</v>
      </c>
      <c r="M917" s="1">
        <v>19.52</v>
      </c>
      <c r="N917" s="1">
        <v>14.37</v>
      </c>
      <c r="O917" s="1">
        <v>20.5</v>
      </c>
      <c r="P917" s="1">
        <v>37.409999999999997</v>
      </c>
      <c r="Q917" s="1">
        <v>1475.92</v>
      </c>
      <c r="R917" s="1">
        <v>60</v>
      </c>
      <c r="S917" s="1">
        <v>81.2</v>
      </c>
    </row>
    <row r="918" spans="1:19" ht="15">
      <c r="A918" s="1">
        <v>51</v>
      </c>
      <c r="B918" s="1" t="s">
        <v>77</v>
      </c>
      <c r="C918" s="1" t="s">
        <v>78</v>
      </c>
      <c r="D918" s="1">
        <v>2026</v>
      </c>
      <c r="E918" s="1" t="s">
        <v>22</v>
      </c>
      <c r="F918" s="1">
        <v>187571461</v>
      </c>
      <c r="G918" s="1">
        <v>93652763</v>
      </c>
      <c r="H918" s="1">
        <v>93918698</v>
      </c>
      <c r="I918" s="1">
        <v>11012329</v>
      </c>
      <c r="J918" s="1">
        <v>435801</v>
      </c>
      <c r="K918" s="1">
        <v>5.87</v>
      </c>
      <c r="L918" s="1">
        <v>15.19</v>
      </c>
      <c r="M918" s="1">
        <v>31.22</v>
      </c>
      <c r="N918" s="1">
        <v>10.41</v>
      </c>
      <c r="O918" s="1">
        <v>37.5</v>
      </c>
      <c r="P918" s="1">
        <v>33.869999999999997</v>
      </c>
      <c r="Q918" s="1">
        <v>11628.59</v>
      </c>
      <c r="R918" s="1">
        <v>84</v>
      </c>
      <c r="S918" s="1">
        <v>63.9</v>
      </c>
    </row>
    <row r="919" spans="1:19" ht="15">
      <c r="A919" s="1">
        <v>51</v>
      </c>
      <c r="B919" s="1" t="s">
        <v>77</v>
      </c>
      <c r="C919" s="1" t="s">
        <v>78</v>
      </c>
      <c r="D919" s="1">
        <v>2026</v>
      </c>
      <c r="E919" s="1" t="s">
        <v>23</v>
      </c>
      <c r="F919" s="1">
        <v>132614010</v>
      </c>
      <c r="G919" s="1">
        <v>66555995</v>
      </c>
      <c r="H919" s="1">
        <v>66058015</v>
      </c>
      <c r="I919" s="1">
        <v>11532670</v>
      </c>
      <c r="J919" s="1">
        <v>552359</v>
      </c>
      <c r="K919" s="1">
        <v>8.6999999999999993</v>
      </c>
      <c r="L919" s="1">
        <v>30</v>
      </c>
      <c r="M919" s="1">
        <v>15.43</v>
      </c>
      <c r="N919" s="1">
        <v>14.27</v>
      </c>
      <c r="O919" s="1">
        <v>29.8</v>
      </c>
      <c r="P919" s="1">
        <v>36.119999999999997</v>
      </c>
      <c r="Q919" s="1">
        <v>6627.8</v>
      </c>
      <c r="R919" s="1">
        <v>47</v>
      </c>
      <c r="S919" s="1">
        <v>76.3</v>
      </c>
    </row>
    <row r="920" spans="1:19" ht="15">
      <c r="A920" s="1">
        <v>52</v>
      </c>
      <c r="B920" s="1" t="s">
        <v>79</v>
      </c>
      <c r="C920" s="1" t="s">
        <v>78</v>
      </c>
      <c r="D920" s="1">
        <v>2021</v>
      </c>
      <c r="E920" s="1" t="s">
        <v>21</v>
      </c>
      <c r="F920" s="1">
        <v>110571983</v>
      </c>
      <c r="G920" s="1">
        <v>55392457</v>
      </c>
      <c r="H920" s="1">
        <v>55179526</v>
      </c>
      <c r="I920" s="1">
        <v>8008011</v>
      </c>
      <c r="J920" s="1">
        <v>287788</v>
      </c>
      <c r="K920" s="1">
        <v>7.24</v>
      </c>
      <c r="L920" s="1">
        <v>23.45</v>
      </c>
      <c r="M920" s="1">
        <v>34</v>
      </c>
      <c r="N920" s="1">
        <v>14.43</v>
      </c>
      <c r="O920" s="1">
        <v>20.94</v>
      </c>
      <c r="P920" s="1">
        <v>25.92</v>
      </c>
      <c r="Q920" s="1">
        <v>7350.82</v>
      </c>
      <c r="R920" s="1">
        <v>69</v>
      </c>
      <c r="S920" s="1">
        <v>76.3</v>
      </c>
    </row>
    <row r="921" spans="1:19" ht="15">
      <c r="A921" s="1">
        <v>52</v>
      </c>
      <c r="B921" s="1" t="s">
        <v>79</v>
      </c>
      <c r="C921" s="1" t="s">
        <v>78</v>
      </c>
      <c r="D921" s="1">
        <v>2021</v>
      </c>
      <c r="E921" s="1" t="s">
        <v>22</v>
      </c>
      <c r="F921" s="1">
        <v>20650696</v>
      </c>
      <c r="G921" s="1">
        <v>10270303</v>
      </c>
      <c r="H921" s="1">
        <v>10380393</v>
      </c>
      <c r="I921" s="1">
        <v>1166586</v>
      </c>
      <c r="J921" s="1">
        <v>47401</v>
      </c>
      <c r="K921" s="1">
        <v>5.65</v>
      </c>
      <c r="L921" s="1">
        <v>10.37</v>
      </c>
      <c r="M921" s="1">
        <v>15.75</v>
      </c>
      <c r="N921" s="1">
        <v>12.01</v>
      </c>
      <c r="O921" s="1">
        <v>29.87</v>
      </c>
      <c r="P921" s="1">
        <v>20.84</v>
      </c>
      <c r="Q921" s="1">
        <v>3406.66</v>
      </c>
      <c r="R921" s="1">
        <v>54</v>
      </c>
      <c r="S921" s="1">
        <v>76.900000000000006</v>
      </c>
    </row>
    <row r="922" spans="1:19" ht="15">
      <c r="A922" s="1">
        <v>52</v>
      </c>
      <c r="B922" s="1" t="s">
        <v>79</v>
      </c>
      <c r="C922" s="1" t="s">
        <v>78</v>
      </c>
      <c r="D922" s="1">
        <v>2021</v>
      </c>
      <c r="E922" s="1" t="s">
        <v>23</v>
      </c>
      <c r="F922" s="1">
        <v>95191118</v>
      </c>
      <c r="G922" s="1">
        <v>49417037</v>
      </c>
      <c r="H922" s="1">
        <v>45774081</v>
      </c>
      <c r="I922" s="1">
        <v>7133309</v>
      </c>
      <c r="J922" s="1">
        <v>372099</v>
      </c>
      <c r="K922" s="1">
        <v>7.49</v>
      </c>
      <c r="L922" s="1">
        <v>17.579999999999998</v>
      </c>
      <c r="M922" s="1">
        <v>30.54</v>
      </c>
      <c r="N922" s="1">
        <v>10.76</v>
      </c>
      <c r="O922" s="1">
        <v>38.32</v>
      </c>
      <c r="P922" s="1">
        <v>28.71</v>
      </c>
      <c r="Q922" s="1">
        <v>2787.57</v>
      </c>
      <c r="R922" s="1">
        <v>61</v>
      </c>
      <c r="S922" s="1">
        <v>72.400000000000006</v>
      </c>
    </row>
    <row r="923" spans="1:19" ht="15">
      <c r="A923" s="1">
        <v>52</v>
      </c>
      <c r="B923" s="1" t="s">
        <v>79</v>
      </c>
      <c r="C923" s="1" t="s">
        <v>78</v>
      </c>
      <c r="D923" s="1">
        <v>2022</v>
      </c>
      <c r="E923" s="1" t="s">
        <v>21</v>
      </c>
      <c r="F923" s="1">
        <v>176159797</v>
      </c>
      <c r="G923" s="1">
        <v>89478837</v>
      </c>
      <c r="H923" s="1">
        <v>86680960</v>
      </c>
      <c r="I923" s="1">
        <v>15704698</v>
      </c>
      <c r="J923" s="1">
        <v>1081583</v>
      </c>
      <c r="K923" s="1">
        <v>8.92</v>
      </c>
      <c r="L923" s="1">
        <v>18.12</v>
      </c>
      <c r="M923" s="1">
        <v>23.77</v>
      </c>
      <c r="N923" s="1">
        <v>7.27</v>
      </c>
      <c r="O923" s="1">
        <v>30.38</v>
      </c>
      <c r="P923" s="1">
        <v>35.43</v>
      </c>
      <c r="Q923" s="1">
        <v>7850.92</v>
      </c>
      <c r="R923" s="1">
        <v>48</v>
      </c>
      <c r="S923" s="1">
        <v>75.3</v>
      </c>
    </row>
    <row r="924" spans="1:19" ht="15">
      <c r="A924" s="1">
        <v>52</v>
      </c>
      <c r="B924" s="1" t="s">
        <v>79</v>
      </c>
      <c r="C924" s="1" t="s">
        <v>78</v>
      </c>
      <c r="D924" s="1">
        <v>2022</v>
      </c>
      <c r="E924" s="1" t="s">
        <v>22</v>
      </c>
      <c r="F924" s="1">
        <v>26867666</v>
      </c>
      <c r="G924" s="1">
        <v>13204666</v>
      </c>
      <c r="H924" s="1">
        <v>13663000</v>
      </c>
      <c r="I924" s="1">
        <v>2216005</v>
      </c>
      <c r="J924" s="1">
        <v>164500</v>
      </c>
      <c r="K924" s="1">
        <v>8.25</v>
      </c>
      <c r="L924" s="1">
        <v>16.64</v>
      </c>
      <c r="M924" s="1">
        <v>11.26</v>
      </c>
      <c r="N924" s="1">
        <v>7.95</v>
      </c>
      <c r="O924" s="1">
        <v>25.8</v>
      </c>
      <c r="P924" s="1">
        <v>22.18</v>
      </c>
      <c r="Q924" s="1">
        <v>6541.94</v>
      </c>
      <c r="R924" s="1">
        <v>83</v>
      </c>
      <c r="S924" s="1">
        <v>72.900000000000006</v>
      </c>
    </row>
    <row r="925" spans="1:19" ht="15">
      <c r="A925" s="1">
        <v>52</v>
      </c>
      <c r="B925" s="1" t="s">
        <v>79</v>
      </c>
      <c r="C925" s="1" t="s">
        <v>78</v>
      </c>
      <c r="D925" s="1">
        <v>2022</v>
      </c>
      <c r="E925" s="1" t="s">
        <v>23</v>
      </c>
      <c r="F925" s="1">
        <v>183983013</v>
      </c>
      <c r="G925" s="1">
        <v>90681529</v>
      </c>
      <c r="H925" s="1">
        <v>93301484</v>
      </c>
      <c r="I925" s="1">
        <v>14015902</v>
      </c>
      <c r="J925" s="1">
        <v>932100</v>
      </c>
      <c r="K925" s="1">
        <v>7.62</v>
      </c>
      <c r="L925" s="1">
        <v>10.65</v>
      </c>
      <c r="M925" s="1">
        <v>30.64</v>
      </c>
      <c r="N925" s="1">
        <v>6.32</v>
      </c>
      <c r="O925" s="1">
        <v>38.130000000000003</v>
      </c>
      <c r="P925" s="1">
        <v>27.32</v>
      </c>
      <c r="Q925" s="1">
        <v>6988.94</v>
      </c>
      <c r="R925" s="1">
        <v>57</v>
      </c>
      <c r="S925" s="1">
        <v>82.6</v>
      </c>
    </row>
    <row r="926" spans="1:19" ht="15">
      <c r="A926" s="1">
        <v>52</v>
      </c>
      <c r="B926" s="1" t="s">
        <v>79</v>
      </c>
      <c r="C926" s="1" t="s">
        <v>78</v>
      </c>
      <c r="D926" s="1">
        <v>2023</v>
      </c>
      <c r="E926" s="1" t="s">
        <v>21</v>
      </c>
      <c r="F926" s="1">
        <v>67092939</v>
      </c>
      <c r="G926" s="1">
        <v>33399099</v>
      </c>
      <c r="H926" s="1">
        <v>33693840</v>
      </c>
      <c r="I926" s="1">
        <v>4033236</v>
      </c>
      <c r="J926" s="1">
        <v>241137</v>
      </c>
      <c r="K926" s="1">
        <v>6.01</v>
      </c>
      <c r="L926" s="1">
        <v>10.8</v>
      </c>
      <c r="M926" s="1">
        <v>11.68</v>
      </c>
      <c r="N926" s="1">
        <v>7.26</v>
      </c>
      <c r="O926" s="1">
        <v>28.36</v>
      </c>
      <c r="P926" s="1">
        <v>32.340000000000003</v>
      </c>
      <c r="Q926" s="1">
        <v>1637.49</v>
      </c>
      <c r="R926" s="1">
        <v>80</v>
      </c>
      <c r="S926" s="1">
        <v>79.7</v>
      </c>
    </row>
    <row r="927" spans="1:19" ht="15">
      <c r="A927" s="1">
        <v>52</v>
      </c>
      <c r="B927" s="1" t="s">
        <v>79</v>
      </c>
      <c r="C927" s="1" t="s">
        <v>78</v>
      </c>
      <c r="D927" s="1">
        <v>2023</v>
      </c>
      <c r="E927" s="1" t="s">
        <v>22</v>
      </c>
      <c r="F927" s="1">
        <v>46316215</v>
      </c>
      <c r="G927" s="1">
        <v>22591044</v>
      </c>
      <c r="H927" s="1">
        <v>23725171</v>
      </c>
      <c r="I927" s="1">
        <v>4317711</v>
      </c>
      <c r="J927" s="1">
        <v>278682</v>
      </c>
      <c r="K927" s="1">
        <v>9.32</v>
      </c>
      <c r="L927" s="1">
        <v>27.2</v>
      </c>
      <c r="M927" s="1">
        <v>34.130000000000003</v>
      </c>
      <c r="N927" s="1">
        <v>13.2</v>
      </c>
      <c r="O927" s="1">
        <v>26.86</v>
      </c>
      <c r="P927" s="1">
        <v>39.67</v>
      </c>
      <c r="Q927" s="1">
        <v>9159.84</v>
      </c>
      <c r="R927" s="1">
        <v>60</v>
      </c>
      <c r="S927" s="1">
        <v>78.8</v>
      </c>
    </row>
    <row r="928" spans="1:19" ht="15">
      <c r="A928" s="1">
        <v>52</v>
      </c>
      <c r="B928" s="1" t="s">
        <v>79</v>
      </c>
      <c r="C928" s="1" t="s">
        <v>78</v>
      </c>
      <c r="D928" s="1">
        <v>2023</v>
      </c>
      <c r="E928" s="1" t="s">
        <v>23</v>
      </c>
      <c r="F928" s="1">
        <v>109356494</v>
      </c>
      <c r="G928" s="1">
        <v>55101350</v>
      </c>
      <c r="H928" s="1">
        <v>54255144</v>
      </c>
      <c r="I928" s="1">
        <v>8870631</v>
      </c>
      <c r="J928" s="1">
        <v>389054</v>
      </c>
      <c r="K928" s="1">
        <v>8.11</v>
      </c>
      <c r="L928" s="1">
        <v>19.579999999999998</v>
      </c>
      <c r="M928" s="1">
        <v>16.79</v>
      </c>
      <c r="N928" s="1">
        <v>7.88</v>
      </c>
      <c r="O928" s="1">
        <v>33.090000000000003</v>
      </c>
      <c r="P928" s="1">
        <v>15.5</v>
      </c>
      <c r="Q928" s="1">
        <v>9219.19</v>
      </c>
      <c r="R928" s="1">
        <v>56</v>
      </c>
      <c r="S928" s="1">
        <v>71.2</v>
      </c>
    </row>
    <row r="929" spans="1:19" ht="15">
      <c r="A929" s="1">
        <v>52</v>
      </c>
      <c r="B929" s="1" t="s">
        <v>79</v>
      </c>
      <c r="C929" s="1" t="s">
        <v>78</v>
      </c>
      <c r="D929" s="1">
        <v>2024</v>
      </c>
      <c r="E929" s="1" t="s">
        <v>21</v>
      </c>
      <c r="F929" s="1">
        <v>149646687</v>
      </c>
      <c r="G929" s="1">
        <v>74721655</v>
      </c>
      <c r="H929" s="1">
        <v>74925032</v>
      </c>
      <c r="I929" s="1">
        <v>10291480</v>
      </c>
      <c r="J929" s="1">
        <v>758468</v>
      </c>
      <c r="K929" s="1">
        <v>6.88</v>
      </c>
      <c r="L929" s="1">
        <v>23.46</v>
      </c>
      <c r="M929" s="1">
        <v>15.61</v>
      </c>
      <c r="N929" s="1">
        <v>14.16</v>
      </c>
      <c r="O929" s="1">
        <v>37.32</v>
      </c>
      <c r="P929" s="1">
        <v>28.58</v>
      </c>
      <c r="Q929" s="1">
        <v>1374.6</v>
      </c>
      <c r="R929" s="1">
        <v>45</v>
      </c>
      <c r="S929" s="1">
        <v>75.3</v>
      </c>
    </row>
    <row r="930" spans="1:19" ht="15">
      <c r="A930" s="1">
        <v>52</v>
      </c>
      <c r="B930" s="1" t="s">
        <v>79</v>
      </c>
      <c r="C930" s="1" t="s">
        <v>78</v>
      </c>
      <c r="D930" s="1">
        <v>2024</v>
      </c>
      <c r="E930" s="1" t="s">
        <v>22</v>
      </c>
      <c r="F930" s="1">
        <v>51406662</v>
      </c>
      <c r="G930" s="1">
        <v>25964433</v>
      </c>
      <c r="H930" s="1">
        <v>25442229</v>
      </c>
      <c r="I930" s="1">
        <v>2822771</v>
      </c>
      <c r="J930" s="1">
        <v>100908</v>
      </c>
      <c r="K930" s="1">
        <v>5.49</v>
      </c>
      <c r="L930" s="1">
        <v>13</v>
      </c>
      <c r="M930" s="1">
        <v>23.72</v>
      </c>
      <c r="N930" s="1">
        <v>12.21</v>
      </c>
      <c r="O930" s="1">
        <v>26.95</v>
      </c>
      <c r="P930" s="1">
        <v>17.329999999999998</v>
      </c>
      <c r="Q930" s="1">
        <v>2395.73</v>
      </c>
      <c r="R930" s="1">
        <v>59</v>
      </c>
      <c r="S930" s="1">
        <v>67.3</v>
      </c>
    </row>
    <row r="931" spans="1:19" ht="15">
      <c r="A931" s="1">
        <v>52</v>
      </c>
      <c r="B931" s="1" t="s">
        <v>79</v>
      </c>
      <c r="C931" s="1" t="s">
        <v>78</v>
      </c>
      <c r="D931" s="1">
        <v>2024</v>
      </c>
      <c r="E931" s="1" t="s">
        <v>23</v>
      </c>
      <c r="F931" s="1">
        <v>63601579</v>
      </c>
      <c r="G931" s="1">
        <v>31389121</v>
      </c>
      <c r="H931" s="1">
        <v>32212458</v>
      </c>
      <c r="I931" s="1">
        <v>5440909</v>
      </c>
      <c r="J931" s="1">
        <v>408145</v>
      </c>
      <c r="K931" s="1">
        <v>8.5500000000000007</v>
      </c>
      <c r="L931" s="1">
        <v>16.329999999999998</v>
      </c>
      <c r="M931" s="1">
        <v>20.73</v>
      </c>
      <c r="N931" s="1">
        <v>9.31</v>
      </c>
      <c r="O931" s="1">
        <v>28.51</v>
      </c>
      <c r="P931" s="1">
        <v>30.41</v>
      </c>
      <c r="Q931" s="1">
        <v>10014.56</v>
      </c>
      <c r="R931" s="1">
        <v>70</v>
      </c>
      <c r="S931" s="1">
        <v>73.2</v>
      </c>
    </row>
    <row r="932" spans="1:19" ht="15">
      <c r="A932" s="1">
        <v>52</v>
      </c>
      <c r="B932" s="1" t="s">
        <v>79</v>
      </c>
      <c r="C932" s="1" t="s">
        <v>78</v>
      </c>
      <c r="D932" s="1">
        <v>2025</v>
      </c>
      <c r="E932" s="1" t="s">
        <v>21</v>
      </c>
      <c r="F932" s="1">
        <v>16708381</v>
      </c>
      <c r="G932" s="1">
        <v>8409977</v>
      </c>
      <c r="H932" s="1">
        <v>8298404</v>
      </c>
      <c r="I932" s="1">
        <v>1592504</v>
      </c>
      <c r="J932" s="1">
        <v>64477</v>
      </c>
      <c r="K932" s="1">
        <v>9.5299999999999994</v>
      </c>
      <c r="L932" s="1">
        <v>18.54</v>
      </c>
      <c r="M932" s="1">
        <v>27.62</v>
      </c>
      <c r="N932" s="1">
        <v>9.92</v>
      </c>
      <c r="O932" s="1">
        <v>20.55</v>
      </c>
      <c r="P932" s="1">
        <v>22.7</v>
      </c>
      <c r="Q932" s="1">
        <v>4959.0200000000004</v>
      </c>
      <c r="R932" s="1">
        <v>57</v>
      </c>
      <c r="S932" s="1">
        <v>72</v>
      </c>
    </row>
    <row r="933" spans="1:19" ht="15">
      <c r="A933" s="1">
        <v>52</v>
      </c>
      <c r="B933" s="1" t="s">
        <v>79</v>
      </c>
      <c r="C933" s="1" t="s">
        <v>78</v>
      </c>
      <c r="D933" s="1">
        <v>2025</v>
      </c>
      <c r="E933" s="1" t="s">
        <v>22</v>
      </c>
      <c r="F933" s="1">
        <v>145419459</v>
      </c>
      <c r="G933" s="1">
        <v>73863766</v>
      </c>
      <c r="H933" s="1">
        <v>71555693</v>
      </c>
      <c r="I933" s="1">
        <v>11798048</v>
      </c>
      <c r="J933" s="1">
        <v>754539</v>
      </c>
      <c r="K933" s="1">
        <v>8.11</v>
      </c>
      <c r="L933" s="1">
        <v>13.7</v>
      </c>
      <c r="M933" s="1">
        <v>33.18</v>
      </c>
      <c r="N933" s="1">
        <v>10.97</v>
      </c>
      <c r="O933" s="1">
        <v>25.54</v>
      </c>
      <c r="P933" s="1">
        <v>37.54</v>
      </c>
      <c r="Q933" s="1">
        <v>7830.63</v>
      </c>
      <c r="R933" s="1">
        <v>59</v>
      </c>
      <c r="S933" s="1">
        <v>82</v>
      </c>
    </row>
    <row r="934" spans="1:19" ht="15">
      <c r="A934" s="1">
        <v>52</v>
      </c>
      <c r="B934" s="1" t="s">
        <v>79</v>
      </c>
      <c r="C934" s="1" t="s">
        <v>78</v>
      </c>
      <c r="D934" s="1">
        <v>2025</v>
      </c>
      <c r="E934" s="1" t="s">
        <v>23</v>
      </c>
      <c r="F934" s="1">
        <v>127863945</v>
      </c>
      <c r="G934" s="1">
        <v>64961830</v>
      </c>
      <c r="H934" s="1">
        <v>62902115</v>
      </c>
      <c r="I934" s="1">
        <v>9216620</v>
      </c>
      <c r="J934" s="1">
        <v>418282</v>
      </c>
      <c r="K934" s="1">
        <v>7.21</v>
      </c>
      <c r="L934" s="1">
        <v>24.04</v>
      </c>
      <c r="M934" s="1">
        <v>16.27</v>
      </c>
      <c r="N934" s="1">
        <v>10.06</v>
      </c>
      <c r="O934" s="1">
        <v>30.57</v>
      </c>
      <c r="P934" s="1">
        <v>28.2</v>
      </c>
      <c r="Q934" s="1">
        <v>2812.65</v>
      </c>
      <c r="R934" s="1">
        <v>61</v>
      </c>
      <c r="S934" s="1">
        <v>80.2</v>
      </c>
    </row>
    <row r="935" spans="1:19" ht="15">
      <c r="A935" s="1">
        <v>52</v>
      </c>
      <c r="B935" s="1" t="s">
        <v>79</v>
      </c>
      <c r="C935" s="1" t="s">
        <v>78</v>
      </c>
      <c r="D935" s="1">
        <v>2026</v>
      </c>
      <c r="E935" s="1" t="s">
        <v>21</v>
      </c>
      <c r="F935" s="1">
        <v>119743308</v>
      </c>
      <c r="G935" s="1">
        <v>59604064</v>
      </c>
      <c r="H935" s="1">
        <v>60139244</v>
      </c>
      <c r="I935" s="1">
        <v>10519896</v>
      </c>
      <c r="J935" s="1">
        <v>462019</v>
      </c>
      <c r="K935" s="1">
        <v>8.7899999999999991</v>
      </c>
      <c r="L935" s="1">
        <v>23.13</v>
      </c>
      <c r="M935" s="1">
        <v>19.41</v>
      </c>
      <c r="N935" s="1">
        <v>9.1999999999999993</v>
      </c>
      <c r="O935" s="1">
        <v>27.15</v>
      </c>
      <c r="P935" s="1">
        <v>28.36</v>
      </c>
      <c r="Q935" s="1">
        <v>8731.08</v>
      </c>
      <c r="R935" s="1">
        <v>67</v>
      </c>
      <c r="S935" s="1">
        <v>66.400000000000006</v>
      </c>
    </row>
    <row r="936" spans="1:19" ht="15">
      <c r="A936" s="1">
        <v>52</v>
      </c>
      <c r="B936" s="1" t="s">
        <v>79</v>
      </c>
      <c r="C936" s="1" t="s">
        <v>78</v>
      </c>
      <c r="D936" s="1">
        <v>2026</v>
      </c>
      <c r="E936" s="1" t="s">
        <v>22</v>
      </c>
      <c r="F936" s="1">
        <v>39674610</v>
      </c>
      <c r="G936" s="1">
        <v>19967811</v>
      </c>
      <c r="H936" s="1">
        <v>19706799</v>
      </c>
      <c r="I936" s="1">
        <v>2642683</v>
      </c>
      <c r="J936" s="1">
        <v>111670</v>
      </c>
      <c r="K936" s="1">
        <v>6.66</v>
      </c>
      <c r="L936" s="1">
        <v>29.49</v>
      </c>
      <c r="M936" s="1">
        <v>25.72</v>
      </c>
      <c r="N936" s="1">
        <v>12.9</v>
      </c>
      <c r="O936" s="1">
        <v>23.42</v>
      </c>
      <c r="P936" s="1">
        <v>28.89</v>
      </c>
      <c r="Q936" s="1">
        <v>2715.96</v>
      </c>
      <c r="R936" s="1">
        <v>60</v>
      </c>
      <c r="S936" s="1">
        <v>72.3</v>
      </c>
    </row>
    <row r="937" spans="1:19" ht="15">
      <c r="A937" s="1">
        <v>52</v>
      </c>
      <c r="B937" s="1" t="s">
        <v>79</v>
      </c>
      <c r="C937" s="1" t="s">
        <v>78</v>
      </c>
      <c r="D937" s="1">
        <v>2026</v>
      </c>
      <c r="E937" s="1" t="s">
        <v>23</v>
      </c>
      <c r="F937" s="1">
        <v>150946316</v>
      </c>
      <c r="G937" s="1">
        <v>73830214</v>
      </c>
      <c r="H937" s="1">
        <v>77116102</v>
      </c>
      <c r="I937" s="1">
        <v>9074462</v>
      </c>
      <c r="J937" s="1">
        <v>691514</v>
      </c>
      <c r="K937" s="1">
        <v>6.01</v>
      </c>
      <c r="L937" s="1">
        <v>27.06</v>
      </c>
      <c r="M937" s="1">
        <v>20.09</v>
      </c>
      <c r="N937" s="1">
        <v>6.38</v>
      </c>
      <c r="O937" s="1">
        <v>26.34</v>
      </c>
      <c r="P937" s="1">
        <v>28.39</v>
      </c>
      <c r="Q937" s="1">
        <v>6128.12</v>
      </c>
      <c r="R937" s="1">
        <v>63</v>
      </c>
      <c r="S937" s="1">
        <v>75.3</v>
      </c>
    </row>
    <row r="938" spans="1:19" ht="15">
      <c r="A938" s="1">
        <v>53</v>
      </c>
      <c r="B938" s="1" t="s">
        <v>80</v>
      </c>
      <c r="C938" s="1" t="s">
        <v>78</v>
      </c>
      <c r="D938" s="1">
        <v>2021</v>
      </c>
      <c r="E938" s="1" t="s">
        <v>21</v>
      </c>
      <c r="F938" s="1">
        <v>106134975</v>
      </c>
      <c r="G938" s="1">
        <v>53590665</v>
      </c>
      <c r="H938" s="1">
        <v>52544310</v>
      </c>
      <c r="I938" s="1">
        <v>8829573</v>
      </c>
      <c r="J938" s="1">
        <v>533953</v>
      </c>
      <c r="K938" s="1">
        <v>8.32</v>
      </c>
      <c r="L938" s="1">
        <v>16.850000000000001</v>
      </c>
      <c r="M938" s="1">
        <v>33.72</v>
      </c>
      <c r="N938" s="1">
        <v>5.99</v>
      </c>
      <c r="O938" s="1">
        <v>35.14</v>
      </c>
      <c r="P938" s="1">
        <v>25.28</v>
      </c>
      <c r="Q938" s="1">
        <v>10692.14</v>
      </c>
      <c r="R938" s="1">
        <v>46</v>
      </c>
      <c r="S938" s="1">
        <v>63.3</v>
      </c>
    </row>
    <row r="939" spans="1:19" ht="15">
      <c r="A939" s="1">
        <v>53</v>
      </c>
      <c r="B939" s="1" t="s">
        <v>80</v>
      </c>
      <c r="C939" s="1" t="s">
        <v>78</v>
      </c>
      <c r="D939" s="1">
        <v>2021</v>
      </c>
      <c r="E939" s="1" t="s">
        <v>22</v>
      </c>
      <c r="F939" s="1">
        <v>163207284</v>
      </c>
      <c r="G939" s="1">
        <v>78932606</v>
      </c>
      <c r="H939" s="1">
        <v>84274678</v>
      </c>
      <c r="I939" s="1">
        <v>11600475</v>
      </c>
      <c r="J939" s="1">
        <v>413222</v>
      </c>
      <c r="K939" s="1">
        <v>7.11</v>
      </c>
      <c r="L939" s="1">
        <v>28.45</v>
      </c>
      <c r="M939" s="1">
        <v>17.68</v>
      </c>
      <c r="N939" s="1">
        <v>10.63</v>
      </c>
      <c r="O939" s="1">
        <v>38.86</v>
      </c>
      <c r="P939" s="1">
        <v>28.22</v>
      </c>
      <c r="Q939" s="1">
        <v>695.83</v>
      </c>
      <c r="R939" s="1">
        <v>81</v>
      </c>
      <c r="S939" s="1">
        <v>78.099999999999994</v>
      </c>
    </row>
    <row r="940" spans="1:19" ht="15">
      <c r="A940" s="1">
        <v>53</v>
      </c>
      <c r="B940" s="1" t="s">
        <v>80</v>
      </c>
      <c r="C940" s="1" t="s">
        <v>78</v>
      </c>
      <c r="D940" s="1">
        <v>2021</v>
      </c>
      <c r="E940" s="1" t="s">
        <v>23</v>
      </c>
      <c r="F940" s="1">
        <v>141467391</v>
      </c>
      <c r="G940" s="1">
        <v>69750627</v>
      </c>
      <c r="H940" s="1">
        <v>71716764</v>
      </c>
      <c r="I940" s="1">
        <v>8636760</v>
      </c>
      <c r="J940" s="1">
        <v>370738</v>
      </c>
      <c r="K940" s="1">
        <v>6.11</v>
      </c>
      <c r="L940" s="1">
        <v>15.3</v>
      </c>
      <c r="M940" s="1">
        <v>29.44</v>
      </c>
      <c r="N940" s="1">
        <v>9.34</v>
      </c>
      <c r="O940" s="1">
        <v>26.24</v>
      </c>
      <c r="P940" s="1">
        <v>22.13</v>
      </c>
      <c r="Q940" s="1">
        <v>8610.11</v>
      </c>
      <c r="R940" s="1">
        <v>41</v>
      </c>
      <c r="S940" s="1">
        <v>77.099999999999994</v>
      </c>
    </row>
    <row r="941" spans="1:19" ht="15">
      <c r="A941" s="1">
        <v>53</v>
      </c>
      <c r="B941" s="1" t="s">
        <v>80</v>
      </c>
      <c r="C941" s="1" t="s">
        <v>78</v>
      </c>
      <c r="D941" s="1">
        <v>2022</v>
      </c>
      <c r="E941" s="1" t="s">
        <v>21</v>
      </c>
      <c r="F941" s="1">
        <v>181420825</v>
      </c>
      <c r="G941" s="1">
        <v>92413154</v>
      </c>
      <c r="H941" s="1">
        <v>89007671</v>
      </c>
      <c r="I941" s="1">
        <v>16918493</v>
      </c>
      <c r="J941" s="1">
        <v>915273</v>
      </c>
      <c r="K941" s="1">
        <v>9.33</v>
      </c>
      <c r="L941" s="1">
        <v>14.45</v>
      </c>
      <c r="M941" s="1">
        <v>32.229999999999997</v>
      </c>
      <c r="N941" s="1">
        <v>13.8</v>
      </c>
      <c r="O941" s="1">
        <v>29.59</v>
      </c>
      <c r="P941" s="1">
        <v>20.75</v>
      </c>
      <c r="Q941" s="1">
        <v>2899.12</v>
      </c>
      <c r="R941" s="1">
        <v>62</v>
      </c>
      <c r="S941" s="1">
        <v>67.5</v>
      </c>
    </row>
    <row r="942" spans="1:19" ht="15">
      <c r="A942" s="1">
        <v>53</v>
      </c>
      <c r="B942" s="1" t="s">
        <v>80</v>
      </c>
      <c r="C942" s="1" t="s">
        <v>78</v>
      </c>
      <c r="D942" s="1">
        <v>2022</v>
      </c>
      <c r="E942" s="1" t="s">
        <v>22</v>
      </c>
      <c r="F942" s="1">
        <v>106112401</v>
      </c>
      <c r="G942" s="1">
        <v>55152390</v>
      </c>
      <c r="H942" s="1">
        <v>50960011</v>
      </c>
      <c r="I942" s="1">
        <v>9957585</v>
      </c>
      <c r="J942" s="1">
        <v>430221</v>
      </c>
      <c r="K942" s="1">
        <v>9.3800000000000008</v>
      </c>
      <c r="L942" s="1">
        <v>12.31</v>
      </c>
      <c r="M942" s="1">
        <v>20.88</v>
      </c>
      <c r="N942" s="1">
        <v>11.03</v>
      </c>
      <c r="O942" s="1">
        <v>37.49</v>
      </c>
      <c r="P942" s="1">
        <v>19.86</v>
      </c>
      <c r="Q942" s="1">
        <v>2249.69</v>
      </c>
      <c r="R942" s="1">
        <v>64</v>
      </c>
      <c r="S942" s="1">
        <v>72.3</v>
      </c>
    </row>
    <row r="943" spans="1:19" ht="15">
      <c r="A943" s="1">
        <v>53</v>
      </c>
      <c r="B943" s="1" t="s">
        <v>80</v>
      </c>
      <c r="C943" s="1" t="s">
        <v>78</v>
      </c>
      <c r="D943" s="1">
        <v>2022</v>
      </c>
      <c r="E943" s="1" t="s">
        <v>23</v>
      </c>
      <c r="F943" s="1">
        <v>50923482</v>
      </c>
      <c r="G943" s="1">
        <v>26036542</v>
      </c>
      <c r="H943" s="1">
        <v>24886940</v>
      </c>
      <c r="I943" s="1">
        <v>4669306</v>
      </c>
      <c r="J943" s="1">
        <v>362109</v>
      </c>
      <c r="K943" s="1">
        <v>9.17</v>
      </c>
      <c r="L943" s="1">
        <v>21.69</v>
      </c>
      <c r="M943" s="1">
        <v>23.59</v>
      </c>
      <c r="N943" s="1">
        <v>6.95</v>
      </c>
      <c r="O943" s="1">
        <v>24.39</v>
      </c>
      <c r="P943" s="1">
        <v>33.28</v>
      </c>
      <c r="Q943" s="1">
        <v>3848.6</v>
      </c>
      <c r="R943" s="1">
        <v>51</v>
      </c>
      <c r="S943" s="1">
        <v>64.5</v>
      </c>
    </row>
    <row r="944" spans="1:19" ht="15">
      <c r="A944" s="1">
        <v>53</v>
      </c>
      <c r="B944" s="1" t="s">
        <v>80</v>
      </c>
      <c r="C944" s="1" t="s">
        <v>78</v>
      </c>
      <c r="D944" s="1">
        <v>2023</v>
      </c>
      <c r="E944" s="1" t="s">
        <v>21</v>
      </c>
      <c r="F944" s="1">
        <v>118185618</v>
      </c>
      <c r="G944" s="1">
        <v>58581665</v>
      </c>
      <c r="H944" s="1">
        <v>59603953</v>
      </c>
      <c r="I944" s="1">
        <v>11783434</v>
      </c>
      <c r="J944" s="1">
        <v>628136</v>
      </c>
      <c r="K944" s="1">
        <v>9.9700000000000006</v>
      </c>
      <c r="L944" s="1">
        <v>15.11</v>
      </c>
      <c r="M944" s="1">
        <v>34.159999999999997</v>
      </c>
      <c r="N944" s="1">
        <v>13.93</v>
      </c>
      <c r="O944" s="1">
        <v>34.94</v>
      </c>
      <c r="P944" s="1">
        <v>35.270000000000003</v>
      </c>
      <c r="Q944" s="1">
        <v>1504.33</v>
      </c>
      <c r="R944" s="1">
        <v>61</v>
      </c>
      <c r="S944" s="1">
        <v>60.2</v>
      </c>
    </row>
    <row r="945" spans="1:19" ht="15">
      <c r="A945" s="1">
        <v>53</v>
      </c>
      <c r="B945" s="1" t="s">
        <v>80</v>
      </c>
      <c r="C945" s="1" t="s">
        <v>78</v>
      </c>
      <c r="D945" s="1">
        <v>2023</v>
      </c>
      <c r="E945" s="1" t="s">
        <v>22</v>
      </c>
      <c r="F945" s="1">
        <v>35571798</v>
      </c>
      <c r="G945" s="1">
        <v>17289482</v>
      </c>
      <c r="H945" s="1">
        <v>18282316</v>
      </c>
      <c r="I945" s="1">
        <v>3245296</v>
      </c>
      <c r="J945" s="1">
        <v>190522</v>
      </c>
      <c r="K945" s="1">
        <v>9.1199999999999992</v>
      </c>
      <c r="L945" s="1">
        <v>18.690000000000001</v>
      </c>
      <c r="M945" s="1">
        <v>18.93</v>
      </c>
      <c r="N945" s="1">
        <v>6.11</v>
      </c>
      <c r="O945" s="1">
        <v>29.03</v>
      </c>
      <c r="P945" s="1">
        <v>21.65</v>
      </c>
      <c r="Q945" s="1">
        <v>10072.709999999999</v>
      </c>
      <c r="R945" s="1">
        <v>72</v>
      </c>
      <c r="S945" s="1">
        <v>77.599999999999994</v>
      </c>
    </row>
    <row r="946" spans="1:19" ht="15">
      <c r="A946" s="1">
        <v>53</v>
      </c>
      <c r="B946" s="1" t="s">
        <v>80</v>
      </c>
      <c r="C946" s="1" t="s">
        <v>78</v>
      </c>
      <c r="D946" s="1">
        <v>2023</v>
      </c>
      <c r="E946" s="1" t="s">
        <v>23</v>
      </c>
      <c r="F946" s="1">
        <v>149594375</v>
      </c>
      <c r="G946" s="1">
        <v>77477963</v>
      </c>
      <c r="H946" s="1">
        <v>72116412</v>
      </c>
      <c r="I946" s="1">
        <v>14739816</v>
      </c>
      <c r="J946" s="1">
        <v>898414</v>
      </c>
      <c r="K946" s="1">
        <v>9.85</v>
      </c>
      <c r="L946" s="1">
        <v>20.21</v>
      </c>
      <c r="M946" s="1">
        <v>18.22</v>
      </c>
      <c r="N946" s="1">
        <v>7.92</v>
      </c>
      <c r="O946" s="1">
        <v>31.11</v>
      </c>
      <c r="P946" s="1">
        <v>27.87</v>
      </c>
      <c r="Q946" s="1">
        <v>9901.5400000000009</v>
      </c>
      <c r="R946" s="1">
        <v>72</v>
      </c>
      <c r="S946" s="1">
        <v>67.099999999999994</v>
      </c>
    </row>
    <row r="947" spans="1:19" ht="15">
      <c r="A947" s="1">
        <v>53</v>
      </c>
      <c r="B947" s="1" t="s">
        <v>80</v>
      </c>
      <c r="C947" s="1" t="s">
        <v>78</v>
      </c>
      <c r="D947" s="1">
        <v>2024</v>
      </c>
      <c r="E947" s="1" t="s">
        <v>21</v>
      </c>
      <c r="F947" s="1">
        <v>161666269</v>
      </c>
      <c r="G947" s="1">
        <v>78489407</v>
      </c>
      <c r="H947" s="1">
        <v>83176862</v>
      </c>
      <c r="I947" s="1">
        <v>9254153</v>
      </c>
      <c r="J947" s="1">
        <v>378920</v>
      </c>
      <c r="K947" s="1">
        <v>5.72</v>
      </c>
      <c r="L947" s="1">
        <v>23.92</v>
      </c>
      <c r="M947" s="1">
        <v>11.91</v>
      </c>
      <c r="N947" s="1">
        <v>13.39</v>
      </c>
      <c r="O947" s="1">
        <v>34.44</v>
      </c>
      <c r="P947" s="1">
        <v>39.29</v>
      </c>
      <c r="Q947" s="1">
        <v>4496.68</v>
      </c>
      <c r="R947" s="1">
        <v>73</v>
      </c>
      <c r="S947" s="1">
        <v>70</v>
      </c>
    </row>
    <row r="948" spans="1:19" ht="15">
      <c r="A948" s="1">
        <v>53</v>
      </c>
      <c r="B948" s="1" t="s">
        <v>80</v>
      </c>
      <c r="C948" s="1" t="s">
        <v>78</v>
      </c>
      <c r="D948" s="1">
        <v>2024</v>
      </c>
      <c r="E948" s="1" t="s">
        <v>22</v>
      </c>
      <c r="F948" s="1">
        <v>125192295</v>
      </c>
      <c r="G948" s="1">
        <v>60758070</v>
      </c>
      <c r="H948" s="1">
        <v>64434225</v>
      </c>
      <c r="I948" s="1">
        <v>9461856</v>
      </c>
      <c r="J948" s="1">
        <v>613447</v>
      </c>
      <c r="K948" s="1">
        <v>7.56</v>
      </c>
      <c r="L948" s="1">
        <v>15.5</v>
      </c>
      <c r="M948" s="1">
        <v>28.72</v>
      </c>
      <c r="N948" s="1">
        <v>13.72</v>
      </c>
      <c r="O948" s="1">
        <v>35.08</v>
      </c>
      <c r="P948" s="1">
        <v>22.41</v>
      </c>
      <c r="Q948" s="1">
        <v>11327.72</v>
      </c>
      <c r="R948" s="1">
        <v>44</v>
      </c>
      <c r="S948" s="1">
        <v>73.599999999999994</v>
      </c>
    </row>
    <row r="949" spans="1:19" ht="15">
      <c r="A949" s="1">
        <v>53</v>
      </c>
      <c r="B949" s="1" t="s">
        <v>80</v>
      </c>
      <c r="C949" s="1" t="s">
        <v>78</v>
      </c>
      <c r="D949" s="1">
        <v>2024</v>
      </c>
      <c r="E949" s="1" t="s">
        <v>23</v>
      </c>
      <c r="F949" s="1">
        <v>91593557</v>
      </c>
      <c r="G949" s="1">
        <v>47130724</v>
      </c>
      <c r="H949" s="1">
        <v>44462833</v>
      </c>
      <c r="I949" s="1">
        <v>5889568</v>
      </c>
      <c r="J949" s="1">
        <v>263877</v>
      </c>
      <c r="K949" s="1">
        <v>6.43</v>
      </c>
      <c r="L949" s="1">
        <v>28.72</v>
      </c>
      <c r="M949" s="1">
        <v>25.53</v>
      </c>
      <c r="N949" s="1">
        <v>12.98</v>
      </c>
      <c r="O949" s="1">
        <v>33.090000000000003</v>
      </c>
      <c r="P949" s="1">
        <v>18.22</v>
      </c>
      <c r="Q949" s="1">
        <v>771.79</v>
      </c>
      <c r="R949" s="1">
        <v>58</v>
      </c>
      <c r="S949" s="1">
        <v>72.8</v>
      </c>
    </row>
    <row r="950" spans="1:19" ht="15">
      <c r="A950" s="1">
        <v>53</v>
      </c>
      <c r="B950" s="1" t="s">
        <v>80</v>
      </c>
      <c r="C950" s="1" t="s">
        <v>78</v>
      </c>
      <c r="D950" s="1">
        <v>2025</v>
      </c>
      <c r="E950" s="1" t="s">
        <v>21</v>
      </c>
      <c r="F950" s="1">
        <v>69042552</v>
      </c>
      <c r="G950" s="1">
        <v>35022278</v>
      </c>
      <c r="H950" s="1">
        <v>34020274</v>
      </c>
      <c r="I950" s="1">
        <v>6208840</v>
      </c>
      <c r="J950" s="1">
        <v>297375</v>
      </c>
      <c r="K950" s="1">
        <v>8.99</v>
      </c>
      <c r="L950" s="1">
        <v>29.11</v>
      </c>
      <c r="M950" s="1">
        <v>24.54</v>
      </c>
      <c r="N950" s="1">
        <v>8.68</v>
      </c>
      <c r="O950" s="1">
        <v>23.68</v>
      </c>
      <c r="P950" s="1">
        <v>33.51</v>
      </c>
      <c r="Q950" s="1">
        <v>7900.71</v>
      </c>
      <c r="R950" s="1">
        <v>53</v>
      </c>
      <c r="S950" s="1">
        <v>69.8</v>
      </c>
    </row>
    <row r="951" spans="1:19" ht="15">
      <c r="A951" s="1">
        <v>53</v>
      </c>
      <c r="B951" s="1" t="s">
        <v>80</v>
      </c>
      <c r="C951" s="1" t="s">
        <v>78</v>
      </c>
      <c r="D951" s="1">
        <v>2025</v>
      </c>
      <c r="E951" s="1" t="s">
        <v>22</v>
      </c>
      <c r="F951" s="1">
        <v>87511411</v>
      </c>
      <c r="G951" s="1">
        <v>42228849</v>
      </c>
      <c r="H951" s="1">
        <v>45282562</v>
      </c>
      <c r="I951" s="1">
        <v>5111777</v>
      </c>
      <c r="J951" s="1">
        <v>368559</v>
      </c>
      <c r="K951" s="1">
        <v>5.84</v>
      </c>
      <c r="L951" s="1">
        <v>16.309999999999999</v>
      </c>
      <c r="M951" s="1">
        <v>12.77</v>
      </c>
      <c r="N951" s="1">
        <v>7.43</v>
      </c>
      <c r="O951" s="1">
        <v>24.71</v>
      </c>
      <c r="P951" s="1">
        <v>34.96</v>
      </c>
      <c r="Q951" s="1">
        <v>8479.2800000000007</v>
      </c>
      <c r="R951" s="1">
        <v>41</v>
      </c>
      <c r="S951" s="1">
        <v>78.7</v>
      </c>
    </row>
    <row r="952" spans="1:19" ht="15">
      <c r="A952" s="1">
        <v>53</v>
      </c>
      <c r="B952" s="1" t="s">
        <v>80</v>
      </c>
      <c r="C952" s="1" t="s">
        <v>78</v>
      </c>
      <c r="D952" s="1">
        <v>2025</v>
      </c>
      <c r="E952" s="1" t="s">
        <v>23</v>
      </c>
      <c r="F952" s="1">
        <v>14076416</v>
      </c>
      <c r="G952" s="1">
        <v>7271560</v>
      </c>
      <c r="H952" s="1">
        <v>6804856</v>
      </c>
      <c r="I952" s="1">
        <v>1378456</v>
      </c>
      <c r="J952" s="1">
        <v>46606</v>
      </c>
      <c r="K952" s="1">
        <v>9.7899999999999991</v>
      </c>
      <c r="L952" s="1">
        <v>20.27</v>
      </c>
      <c r="M952" s="1">
        <v>28.41</v>
      </c>
      <c r="N952" s="1">
        <v>7.14</v>
      </c>
      <c r="O952" s="1">
        <v>37.659999999999997</v>
      </c>
      <c r="P952" s="1">
        <v>19.84</v>
      </c>
      <c r="Q952" s="1">
        <v>6537.9</v>
      </c>
      <c r="R952" s="1">
        <v>65</v>
      </c>
      <c r="S952" s="1">
        <v>74.3</v>
      </c>
    </row>
    <row r="953" spans="1:19" ht="15">
      <c r="A953" s="1">
        <v>53</v>
      </c>
      <c r="B953" s="1" t="s">
        <v>80</v>
      </c>
      <c r="C953" s="1" t="s">
        <v>78</v>
      </c>
      <c r="D953" s="1">
        <v>2026</v>
      </c>
      <c r="E953" s="1" t="s">
        <v>21</v>
      </c>
      <c r="F953" s="1">
        <v>156678239</v>
      </c>
      <c r="G953" s="1">
        <v>78393429</v>
      </c>
      <c r="H953" s="1">
        <v>78284810</v>
      </c>
      <c r="I953" s="1">
        <v>12860362</v>
      </c>
      <c r="J953" s="1">
        <v>936225</v>
      </c>
      <c r="K953" s="1">
        <v>8.2100000000000009</v>
      </c>
      <c r="L953" s="1">
        <v>19.760000000000002</v>
      </c>
      <c r="M953" s="1">
        <v>11.12</v>
      </c>
      <c r="N953" s="1">
        <v>14.11</v>
      </c>
      <c r="O953" s="1">
        <v>26.65</v>
      </c>
      <c r="P953" s="1">
        <v>21.15</v>
      </c>
      <c r="Q953" s="1">
        <v>8776.5499999999993</v>
      </c>
      <c r="R953" s="1">
        <v>60</v>
      </c>
      <c r="S953" s="1">
        <v>70.8</v>
      </c>
    </row>
    <row r="954" spans="1:19" ht="15">
      <c r="A954" s="1">
        <v>53</v>
      </c>
      <c r="B954" s="1" t="s">
        <v>80</v>
      </c>
      <c r="C954" s="1" t="s">
        <v>78</v>
      </c>
      <c r="D954" s="1">
        <v>2026</v>
      </c>
      <c r="E954" s="1" t="s">
        <v>22</v>
      </c>
      <c r="F954" s="1">
        <v>121144670</v>
      </c>
      <c r="G954" s="1">
        <v>61762300</v>
      </c>
      <c r="H954" s="1">
        <v>59382370</v>
      </c>
      <c r="I954" s="1">
        <v>8743777</v>
      </c>
      <c r="J954" s="1">
        <v>451132</v>
      </c>
      <c r="K954" s="1">
        <v>7.22</v>
      </c>
      <c r="L954" s="1">
        <v>14.12</v>
      </c>
      <c r="M954" s="1">
        <v>24.53</v>
      </c>
      <c r="N954" s="1">
        <v>8.98</v>
      </c>
      <c r="O954" s="1">
        <v>24.31</v>
      </c>
      <c r="P954" s="1">
        <v>29.15</v>
      </c>
      <c r="Q954" s="1">
        <v>1934.98</v>
      </c>
      <c r="R954" s="1">
        <v>44</v>
      </c>
      <c r="S954" s="1">
        <v>71</v>
      </c>
    </row>
    <row r="955" spans="1:19" ht="15">
      <c r="A955" s="1">
        <v>53</v>
      </c>
      <c r="B955" s="1" t="s">
        <v>80</v>
      </c>
      <c r="C955" s="1" t="s">
        <v>78</v>
      </c>
      <c r="D955" s="1">
        <v>2026</v>
      </c>
      <c r="E955" s="1" t="s">
        <v>23</v>
      </c>
      <c r="F955" s="1">
        <v>119055237</v>
      </c>
      <c r="G955" s="1">
        <v>61057677</v>
      </c>
      <c r="H955" s="1">
        <v>57997560</v>
      </c>
      <c r="I955" s="1">
        <v>7912311</v>
      </c>
      <c r="J955" s="1">
        <v>603350</v>
      </c>
      <c r="K955" s="1">
        <v>6.65</v>
      </c>
      <c r="L955" s="1">
        <v>20.239999999999998</v>
      </c>
      <c r="M955" s="1">
        <v>19.989999999999998</v>
      </c>
      <c r="N955" s="1">
        <v>12.67</v>
      </c>
      <c r="O955" s="1">
        <v>30.6</v>
      </c>
      <c r="P955" s="1">
        <v>15.53</v>
      </c>
      <c r="Q955" s="1">
        <v>10789.27</v>
      </c>
      <c r="R955" s="1">
        <v>44</v>
      </c>
      <c r="S955" s="1">
        <v>63.6</v>
      </c>
    </row>
    <row r="956" spans="1:19" ht="15">
      <c r="A956" s="1">
        <v>54</v>
      </c>
      <c r="B956" s="1" t="s">
        <v>81</v>
      </c>
      <c r="C956" s="1" t="s">
        <v>78</v>
      </c>
      <c r="D956" s="1">
        <v>2021</v>
      </c>
      <c r="E956" s="1" t="s">
        <v>21</v>
      </c>
      <c r="F956" s="1">
        <v>85922846</v>
      </c>
      <c r="G956" s="1">
        <v>43135295</v>
      </c>
      <c r="H956" s="1">
        <v>42787551</v>
      </c>
      <c r="I956" s="1">
        <v>5829467</v>
      </c>
      <c r="J956" s="1">
        <v>404165</v>
      </c>
      <c r="K956" s="1">
        <v>6.78</v>
      </c>
      <c r="L956" s="1">
        <v>13.36</v>
      </c>
      <c r="M956" s="1">
        <v>33.270000000000003</v>
      </c>
      <c r="N956" s="1">
        <v>9.25</v>
      </c>
      <c r="O956" s="1">
        <v>27.64</v>
      </c>
      <c r="P956" s="1">
        <v>25.15</v>
      </c>
      <c r="Q956" s="1">
        <v>4731.1000000000004</v>
      </c>
      <c r="R956" s="1">
        <v>49</v>
      </c>
      <c r="S956" s="1">
        <v>79</v>
      </c>
    </row>
    <row r="957" spans="1:19" ht="15">
      <c r="A957" s="1">
        <v>54</v>
      </c>
      <c r="B957" s="1" t="s">
        <v>81</v>
      </c>
      <c r="C957" s="1" t="s">
        <v>78</v>
      </c>
      <c r="D957" s="1">
        <v>2021</v>
      </c>
      <c r="E957" s="1" t="s">
        <v>22</v>
      </c>
      <c r="F957" s="1">
        <v>182546603</v>
      </c>
      <c r="G957" s="1">
        <v>94031041</v>
      </c>
      <c r="H957" s="1">
        <v>88515562</v>
      </c>
      <c r="I957" s="1">
        <v>15752822</v>
      </c>
      <c r="J957" s="1">
        <v>860335</v>
      </c>
      <c r="K957" s="1">
        <v>8.6300000000000008</v>
      </c>
      <c r="L957" s="1">
        <v>18.46</v>
      </c>
      <c r="M957" s="1">
        <v>34.700000000000003</v>
      </c>
      <c r="N957" s="1">
        <v>9.5299999999999994</v>
      </c>
      <c r="O957" s="1">
        <v>34.24</v>
      </c>
      <c r="P957" s="1">
        <v>35.340000000000003</v>
      </c>
      <c r="Q957" s="1">
        <v>10472.709999999999</v>
      </c>
      <c r="R957" s="1">
        <v>81</v>
      </c>
      <c r="S957" s="1">
        <v>68.3</v>
      </c>
    </row>
    <row r="958" spans="1:19" ht="15">
      <c r="A958" s="1">
        <v>54</v>
      </c>
      <c r="B958" s="1" t="s">
        <v>81</v>
      </c>
      <c r="C958" s="1" t="s">
        <v>78</v>
      </c>
      <c r="D958" s="1">
        <v>2021</v>
      </c>
      <c r="E958" s="1" t="s">
        <v>23</v>
      </c>
      <c r="F958" s="1">
        <v>135251102</v>
      </c>
      <c r="G958" s="1">
        <v>67342860</v>
      </c>
      <c r="H958" s="1">
        <v>67908242</v>
      </c>
      <c r="I958" s="1">
        <v>12390520</v>
      </c>
      <c r="J958" s="1">
        <v>674160</v>
      </c>
      <c r="K958" s="1">
        <v>9.16</v>
      </c>
      <c r="L958" s="1">
        <v>28.33</v>
      </c>
      <c r="M958" s="1">
        <v>10.52</v>
      </c>
      <c r="N958" s="1">
        <v>13.73</v>
      </c>
      <c r="O958" s="1">
        <v>32.35</v>
      </c>
      <c r="P958" s="1">
        <v>35.53</v>
      </c>
      <c r="Q958" s="1">
        <v>4081.42</v>
      </c>
      <c r="R958" s="1">
        <v>46</v>
      </c>
      <c r="S958" s="1">
        <v>77.7</v>
      </c>
    </row>
    <row r="959" spans="1:19" ht="15">
      <c r="A959" s="1">
        <v>54</v>
      </c>
      <c r="B959" s="1" t="s">
        <v>81</v>
      </c>
      <c r="C959" s="1" t="s">
        <v>78</v>
      </c>
      <c r="D959" s="1">
        <v>2022</v>
      </c>
      <c r="E959" s="1" t="s">
        <v>21</v>
      </c>
      <c r="F959" s="1">
        <v>135106743</v>
      </c>
      <c r="G959" s="1">
        <v>69993303</v>
      </c>
      <c r="H959" s="1">
        <v>65113440</v>
      </c>
      <c r="I959" s="1">
        <v>13492191</v>
      </c>
      <c r="J959" s="1">
        <v>686718</v>
      </c>
      <c r="K959" s="1">
        <v>9.99</v>
      </c>
      <c r="L959" s="1">
        <v>17.34</v>
      </c>
      <c r="M959" s="1">
        <v>33.119999999999997</v>
      </c>
      <c r="N959" s="1">
        <v>14.98</v>
      </c>
      <c r="O959" s="1">
        <v>36.93</v>
      </c>
      <c r="P959" s="1">
        <v>36.78</v>
      </c>
      <c r="Q959" s="1">
        <v>10361.950000000001</v>
      </c>
      <c r="R959" s="1">
        <v>59</v>
      </c>
      <c r="S959" s="1">
        <v>75.8</v>
      </c>
    </row>
    <row r="960" spans="1:19" ht="15">
      <c r="A960" s="1">
        <v>54</v>
      </c>
      <c r="B960" s="1" t="s">
        <v>81</v>
      </c>
      <c r="C960" s="1" t="s">
        <v>78</v>
      </c>
      <c r="D960" s="1">
        <v>2022</v>
      </c>
      <c r="E960" s="1" t="s">
        <v>22</v>
      </c>
      <c r="F960" s="1">
        <v>110390383</v>
      </c>
      <c r="G960" s="1">
        <v>56077370</v>
      </c>
      <c r="H960" s="1">
        <v>54313013</v>
      </c>
      <c r="I960" s="1">
        <v>9633005</v>
      </c>
      <c r="J960" s="1">
        <v>557267</v>
      </c>
      <c r="K960" s="1">
        <v>8.73</v>
      </c>
      <c r="L960" s="1">
        <v>11.4</v>
      </c>
      <c r="M960" s="1">
        <v>29.93</v>
      </c>
      <c r="N960" s="1">
        <v>9.98</v>
      </c>
      <c r="O960" s="1">
        <v>20.59</v>
      </c>
      <c r="P960" s="1">
        <v>30.38</v>
      </c>
      <c r="Q960" s="1">
        <v>5556.83</v>
      </c>
      <c r="R960" s="1">
        <v>82</v>
      </c>
      <c r="S960" s="1">
        <v>61.7</v>
      </c>
    </row>
    <row r="961" spans="1:19" ht="15">
      <c r="A961" s="1">
        <v>54</v>
      </c>
      <c r="B961" s="1" t="s">
        <v>81</v>
      </c>
      <c r="C961" s="1" t="s">
        <v>78</v>
      </c>
      <c r="D961" s="1">
        <v>2022</v>
      </c>
      <c r="E961" s="1" t="s">
        <v>23</v>
      </c>
      <c r="F961" s="1">
        <v>136323046</v>
      </c>
      <c r="G961" s="1">
        <v>67492047</v>
      </c>
      <c r="H961" s="1">
        <v>68830999</v>
      </c>
      <c r="I961" s="1">
        <v>13006762</v>
      </c>
      <c r="J961" s="1">
        <v>753507</v>
      </c>
      <c r="K961" s="1">
        <v>9.5399999999999991</v>
      </c>
      <c r="L961" s="1">
        <v>12.26</v>
      </c>
      <c r="M961" s="1">
        <v>31.12</v>
      </c>
      <c r="N961" s="1">
        <v>13.98</v>
      </c>
      <c r="O961" s="1">
        <v>39</v>
      </c>
      <c r="P961" s="1">
        <v>37.770000000000003</v>
      </c>
      <c r="Q961" s="1">
        <v>2625.48</v>
      </c>
      <c r="R961" s="1">
        <v>53</v>
      </c>
      <c r="S961" s="1">
        <v>78.8</v>
      </c>
    </row>
    <row r="962" spans="1:19" ht="15">
      <c r="A962" s="1">
        <v>54</v>
      </c>
      <c r="B962" s="1" t="s">
        <v>81</v>
      </c>
      <c r="C962" s="1" t="s">
        <v>78</v>
      </c>
      <c r="D962" s="1">
        <v>2023</v>
      </c>
      <c r="E962" s="1" t="s">
        <v>21</v>
      </c>
      <c r="F962" s="1">
        <v>158641460</v>
      </c>
      <c r="G962" s="1">
        <v>78523913</v>
      </c>
      <c r="H962" s="1">
        <v>80117547</v>
      </c>
      <c r="I962" s="1">
        <v>7948652</v>
      </c>
      <c r="J962" s="1">
        <v>339858</v>
      </c>
      <c r="K962" s="1">
        <v>5.01</v>
      </c>
      <c r="L962" s="1">
        <v>29.66</v>
      </c>
      <c r="M962" s="1">
        <v>11.97</v>
      </c>
      <c r="N962" s="1">
        <v>14.72</v>
      </c>
      <c r="O962" s="1">
        <v>23.2</v>
      </c>
      <c r="P962" s="1">
        <v>16.29</v>
      </c>
      <c r="Q962" s="1">
        <v>3035.65</v>
      </c>
      <c r="R962" s="1">
        <v>76</v>
      </c>
      <c r="S962" s="1">
        <v>66</v>
      </c>
    </row>
    <row r="963" spans="1:19" ht="15">
      <c r="A963" s="1">
        <v>54</v>
      </c>
      <c r="B963" s="1" t="s">
        <v>81</v>
      </c>
      <c r="C963" s="1" t="s">
        <v>78</v>
      </c>
      <c r="D963" s="1">
        <v>2023</v>
      </c>
      <c r="E963" s="1" t="s">
        <v>22</v>
      </c>
      <c r="F963" s="1">
        <v>26303347</v>
      </c>
      <c r="G963" s="1">
        <v>12866840</v>
      </c>
      <c r="H963" s="1">
        <v>13436507</v>
      </c>
      <c r="I963" s="1">
        <v>1585591</v>
      </c>
      <c r="J963" s="1">
        <v>85477</v>
      </c>
      <c r="K963" s="1">
        <v>6.03</v>
      </c>
      <c r="L963" s="1">
        <v>20.97</v>
      </c>
      <c r="M963" s="1">
        <v>11.43</v>
      </c>
      <c r="N963" s="1">
        <v>11.8</v>
      </c>
      <c r="O963" s="1">
        <v>22.99</v>
      </c>
      <c r="P963" s="1">
        <v>37.130000000000003</v>
      </c>
      <c r="Q963" s="1">
        <v>1293.17</v>
      </c>
      <c r="R963" s="1">
        <v>77</v>
      </c>
      <c r="S963" s="1">
        <v>76.3</v>
      </c>
    </row>
    <row r="964" spans="1:19" ht="15">
      <c r="A964" s="1">
        <v>54</v>
      </c>
      <c r="B964" s="1" t="s">
        <v>81</v>
      </c>
      <c r="C964" s="1" t="s">
        <v>78</v>
      </c>
      <c r="D964" s="1">
        <v>2023</v>
      </c>
      <c r="E964" s="1" t="s">
        <v>23</v>
      </c>
      <c r="F964" s="1">
        <v>165637549</v>
      </c>
      <c r="G964" s="1">
        <v>85640564</v>
      </c>
      <c r="H964" s="1">
        <v>79996985</v>
      </c>
      <c r="I964" s="1">
        <v>9082889</v>
      </c>
      <c r="J964" s="1">
        <v>308535</v>
      </c>
      <c r="K964" s="1">
        <v>5.48</v>
      </c>
      <c r="L964" s="1">
        <v>25.05</v>
      </c>
      <c r="M964" s="1">
        <v>24.9</v>
      </c>
      <c r="N964" s="1">
        <v>8.65</v>
      </c>
      <c r="O964" s="1">
        <v>21.27</v>
      </c>
      <c r="P964" s="1">
        <v>16.36</v>
      </c>
      <c r="Q964" s="1">
        <v>6166.83</v>
      </c>
      <c r="R964" s="1">
        <v>62</v>
      </c>
      <c r="S964" s="1">
        <v>63.4</v>
      </c>
    </row>
    <row r="965" spans="1:19" ht="15">
      <c r="A965" s="1">
        <v>54</v>
      </c>
      <c r="B965" s="1" t="s">
        <v>81</v>
      </c>
      <c r="C965" s="1" t="s">
        <v>78</v>
      </c>
      <c r="D965" s="1">
        <v>2024</v>
      </c>
      <c r="E965" s="1" t="s">
        <v>21</v>
      </c>
      <c r="F965" s="1">
        <v>78877217</v>
      </c>
      <c r="G965" s="1">
        <v>38062187</v>
      </c>
      <c r="H965" s="1">
        <v>40815030</v>
      </c>
      <c r="I965" s="1">
        <v>4397037</v>
      </c>
      <c r="J965" s="1">
        <v>252095</v>
      </c>
      <c r="K965" s="1">
        <v>5.57</v>
      </c>
      <c r="L965" s="1">
        <v>17.02</v>
      </c>
      <c r="M965" s="1">
        <v>32.71</v>
      </c>
      <c r="N965" s="1">
        <v>8.19</v>
      </c>
      <c r="O965" s="1">
        <v>20.88</v>
      </c>
      <c r="P965" s="1">
        <v>21.71</v>
      </c>
      <c r="Q965" s="1">
        <v>4213.63</v>
      </c>
      <c r="R965" s="1">
        <v>50</v>
      </c>
      <c r="S965" s="1">
        <v>69.400000000000006</v>
      </c>
    </row>
    <row r="966" spans="1:19" ht="15">
      <c r="A966" s="1">
        <v>54</v>
      </c>
      <c r="B966" s="1" t="s">
        <v>81</v>
      </c>
      <c r="C966" s="1" t="s">
        <v>78</v>
      </c>
      <c r="D966" s="1">
        <v>2024</v>
      </c>
      <c r="E966" s="1" t="s">
        <v>22</v>
      </c>
      <c r="F966" s="1">
        <v>131339019</v>
      </c>
      <c r="G966" s="1">
        <v>63478711</v>
      </c>
      <c r="H966" s="1">
        <v>67860308</v>
      </c>
      <c r="I966" s="1">
        <v>7148756</v>
      </c>
      <c r="J966" s="1">
        <v>398607</v>
      </c>
      <c r="K966" s="1">
        <v>5.44</v>
      </c>
      <c r="L966" s="1">
        <v>26.12</v>
      </c>
      <c r="M966" s="1">
        <v>26.42</v>
      </c>
      <c r="N966" s="1">
        <v>10.63</v>
      </c>
      <c r="O966" s="1">
        <v>31.27</v>
      </c>
      <c r="P966" s="1">
        <v>33.61</v>
      </c>
      <c r="Q966" s="1">
        <v>10746.25</v>
      </c>
      <c r="R966" s="1">
        <v>42</v>
      </c>
      <c r="S966" s="1">
        <v>80.900000000000006</v>
      </c>
    </row>
    <row r="967" spans="1:19" ht="15">
      <c r="A967" s="1">
        <v>54</v>
      </c>
      <c r="B967" s="1" t="s">
        <v>81</v>
      </c>
      <c r="C967" s="1" t="s">
        <v>78</v>
      </c>
      <c r="D967" s="1">
        <v>2024</v>
      </c>
      <c r="E967" s="1" t="s">
        <v>23</v>
      </c>
      <c r="F967" s="1">
        <v>167293173</v>
      </c>
      <c r="G967" s="1">
        <v>85498772</v>
      </c>
      <c r="H967" s="1">
        <v>81794401</v>
      </c>
      <c r="I967" s="1">
        <v>10714721</v>
      </c>
      <c r="J967" s="1">
        <v>539827</v>
      </c>
      <c r="K967" s="1">
        <v>6.4</v>
      </c>
      <c r="L967" s="1">
        <v>25.08</v>
      </c>
      <c r="M967" s="1">
        <v>12.87</v>
      </c>
      <c r="N967" s="1">
        <v>5.38</v>
      </c>
      <c r="O967" s="1">
        <v>36.89</v>
      </c>
      <c r="P967" s="1">
        <v>24.96</v>
      </c>
      <c r="Q967" s="1">
        <v>9104.89</v>
      </c>
      <c r="R967" s="1">
        <v>43</v>
      </c>
      <c r="S967" s="1">
        <v>79.599999999999994</v>
      </c>
    </row>
    <row r="968" spans="1:19" ht="15">
      <c r="A968" s="1">
        <v>54</v>
      </c>
      <c r="B968" s="1" t="s">
        <v>81</v>
      </c>
      <c r="C968" s="1" t="s">
        <v>78</v>
      </c>
      <c r="D968" s="1">
        <v>2025</v>
      </c>
      <c r="E968" s="1" t="s">
        <v>21</v>
      </c>
      <c r="F968" s="1">
        <v>137646935</v>
      </c>
      <c r="G968" s="1">
        <v>71542362</v>
      </c>
      <c r="H968" s="1">
        <v>66104573</v>
      </c>
      <c r="I968" s="1">
        <v>8690826</v>
      </c>
      <c r="J968" s="1">
        <v>467227</v>
      </c>
      <c r="K968" s="1">
        <v>6.31</v>
      </c>
      <c r="L968" s="1">
        <v>20.95</v>
      </c>
      <c r="M968" s="1">
        <v>30.15</v>
      </c>
      <c r="N968" s="1">
        <v>14.33</v>
      </c>
      <c r="O968" s="1">
        <v>25.56</v>
      </c>
      <c r="P968" s="1">
        <v>28.62</v>
      </c>
      <c r="Q968" s="1">
        <v>11621.09</v>
      </c>
      <c r="R968" s="1">
        <v>53</v>
      </c>
      <c r="S968" s="1">
        <v>75.8</v>
      </c>
    </row>
    <row r="969" spans="1:19" ht="15">
      <c r="A969" s="1">
        <v>54</v>
      </c>
      <c r="B969" s="1" t="s">
        <v>81</v>
      </c>
      <c r="C969" s="1" t="s">
        <v>78</v>
      </c>
      <c r="D969" s="1">
        <v>2025</v>
      </c>
      <c r="E969" s="1" t="s">
        <v>22</v>
      </c>
      <c r="F969" s="1">
        <v>27827751</v>
      </c>
      <c r="G969" s="1">
        <v>14047571</v>
      </c>
      <c r="H969" s="1">
        <v>13780180</v>
      </c>
      <c r="I969" s="1">
        <v>2330632</v>
      </c>
      <c r="J969" s="1">
        <v>161375</v>
      </c>
      <c r="K969" s="1">
        <v>8.3800000000000008</v>
      </c>
      <c r="L969" s="1">
        <v>28.82</v>
      </c>
      <c r="M969" s="1">
        <v>15.93</v>
      </c>
      <c r="N969" s="1">
        <v>11.48</v>
      </c>
      <c r="O969" s="1">
        <v>39.869999999999997</v>
      </c>
      <c r="P969" s="1">
        <v>35.51</v>
      </c>
      <c r="Q969" s="1">
        <v>6722.8</v>
      </c>
      <c r="R969" s="1">
        <v>40</v>
      </c>
      <c r="S969" s="1">
        <v>61.2</v>
      </c>
    </row>
    <row r="970" spans="1:19" ht="15">
      <c r="A970" s="1">
        <v>54</v>
      </c>
      <c r="B970" s="1" t="s">
        <v>81</v>
      </c>
      <c r="C970" s="1" t="s">
        <v>78</v>
      </c>
      <c r="D970" s="1">
        <v>2025</v>
      </c>
      <c r="E970" s="1" t="s">
        <v>23</v>
      </c>
      <c r="F970" s="1">
        <v>195858592</v>
      </c>
      <c r="G970" s="1">
        <v>100039514</v>
      </c>
      <c r="H970" s="1">
        <v>95819078</v>
      </c>
      <c r="I970" s="1">
        <v>12106876</v>
      </c>
      <c r="J970" s="1">
        <v>383424</v>
      </c>
      <c r="K970" s="1">
        <v>6.18</v>
      </c>
      <c r="L970" s="1">
        <v>22.66</v>
      </c>
      <c r="M970" s="1">
        <v>32.43</v>
      </c>
      <c r="N970" s="1">
        <v>6.53</v>
      </c>
      <c r="O970" s="1">
        <v>27.42</v>
      </c>
      <c r="P970" s="1">
        <v>34.22</v>
      </c>
      <c r="Q970" s="1">
        <v>6017.26</v>
      </c>
      <c r="R970" s="1">
        <v>52</v>
      </c>
      <c r="S970" s="1">
        <v>75.599999999999994</v>
      </c>
    </row>
    <row r="971" spans="1:19" ht="15">
      <c r="A971" s="1">
        <v>54</v>
      </c>
      <c r="B971" s="1" t="s">
        <v>81</v>
      </c>
      <c r="C971" s="1" t="s">
        <v>78</v>
      </c>
      <c r="D971" s="1">
        <v>2026</v>
      </c>
      <c r="E971" s="1" t="s">
        <v>21</v>
      </c>
      <c r="F971" s="1">
        <v>117245709</v>
      </c>
      <c r="G971" s="1">
        <v>58329395</v>
      </c>
      <c r="H971" s="1">
        <v>58916314</v>
      </c>
      <c r="I971" s="1">
        <v>11502839</v>
      </c>
      <c r="J971" s="1">
        <v>726315</v>
      </c>
      <c r="K971" s="1">
        <v>9.81</v>
      </c>
      <c r="L971" s="1">
        <v>18.34</v>
      </c>
      <c r="M971" s="1">
        <v>33.799999999999997</v>
      </c>
      <c r="N971" s="1">
        <v>5.66</v>
      </c>
      <c r="O971" s="1">
        <v>36.200000000000003</v>
      </c>
      <c r="P971" s="1">
        <v>16.440000000000001</v>
      </c>
      <c r="Q971" s="1">
        <v>565.33000000000004</v>
      </c>
      <c r="R971" s="1">
        <v>62</v>
      </c>
      <c r="S971" s="1">
        <v>60.8</v>
      </c>
    </row>
    <row r="972" spans="1:19" ht="15">
      <c r="A972" s="1">
        <v>54</v>
      </c>
      <c r="B972" s="1" t="s">
        <v>81</v>
      </c>
      <c r="C972" s="1" t="s">
        <v>78</v>
      </c>
      <c r="D972" s="1">
        <v>2026</v>
      </c>
      <c r="E972" s="1" t="s">
        <v>22</v>
      </c>
      <c r="F972" s="1">
        <v>42512277</v>
      </c>
      <c r="G972" s="1">
        <v>20549466</v>
      </c>
      <c r="H972" s="1">
        <v>21962811</v>
      </c>
      <c r="I972" s="1">
        <v>2606269</v>
      </c>
      <c r="J972" s="1">
        <v>127281</v>
      </c>
      <c r="K972" s="1">
        <v>6.13</v>
      </c>
      <c r="L972" s="1">
        <v>27.13</v>
      </c>
      <c r="M972" s="1">
        <v>32.36</v>
      </c>
      <c r="N972" s="1">
        <v>12.23</v>
      </c>
      <c r="O972" s="1">
        <v>28.29</v>
      </c>
      <c r="P972" s="1">
        <v>29.84</v>
      </c>
      <c r="Q972" s="1">
        <v>9504.99</v>
      </c>
      <c r="R972" s="1">
        <v>75</v>
      </c>
      <c r="S972" s="1">
        <v>77.8</v>
      </c>
    </row>
    <row r="973" spans="1:19" ht="15">
      <c r="A973" s="1">
        <v>54</v>
      </c>
      <c r="B973" s="1" t="s">
        <v>81</v>
      </c>
      <c r="C973" s="1" t="s">
        <v>78</v>
      </c>
      <c r="D973" s="1">
        <v>2026</v>
      </c>
      <c r="E973" s="1" t="s">
        <v>23</v>
      </c>
      <c r="F973" s="1">
        <v>68570562</v>
      </c>
      <c r="G973" s="1">
        <v>33999788</v>
      </c>
      <c r="H973" s="1">
        <v>34570774</v>
      </c>
      <c r="I973" s="1">
        <v>3844845</v>
      </c>
      <c r="J973" s="1">
        <v>211509</v>
      </c>
      <c r="K973" s="1">
        <v>5.61</v>
      </c>
      <c r="L973" s="1">
        <v>29.06</v>
      </c>
      <c r="M973" s="1">
        <v>27.63</v>
      </c>
      <c r="N973" s="1">
        <v>11.58</v>
      </c>
      <c r="O973" s="1">
        <v>22.99</v>
      </c>
      <c r="P973" s="1">
        <v>26.12</v>
      </c>
      <c r="Q973" s="1">
        <v>3402.07</v>
      </c>
      <c r="R973" s="1">
        <v>40</v>
      </c>
      <c r="S973" s="1">
        <v>75.5</v>
      </c>
    </row>
    <row r="974" spans="1:19" ht="15">
      <c r="A974" s="1">
        <v>55</v>
      </c>
      <c r="B974" s="1" t="s">
        <v>82</v>
      </c>
      <c r="C974" s="1" t="s">
        <v>78</v>
      </c>
      <c r="D974" s="1">
        <v>2021</v>
      </c>
      <c r="E974" s="1" t="s">
        <v>21</v>
      </c>
      <c r="F974" s="1">
        <v>84958647</v>
      </c>
      <c r="G974" s="1">
        <v>41030766</v>
      </c>
      <c r="H974" s="1">
        <v>43927881</v>
      </c>
      <c r="I974" s="1">
        <v>7331832</v>
      </c>
      <c r="J974" s="1">
        <v>514059</v>
      </c>
      <c r="K974" s="1">
        <v>8.6300000000000008</v>
      </c>
      <c r="L974" s="1">
        <v>20.54</v>
      </c>
      <c r="M974" s="1">
        <v>16.440000000000001</v>
      </c>
      <c r="N974" s="1">
        <v>7.7</v>
      </c>
      <c r="O974" s="1">
        <v>35.770000000000003</v>
      </c>
      <c r="P974" s="1">
        <v>28.89</v>
      </c>
      <c r="Q974" s="1">
        <v>1726.82</v>
      </c>
      <c r="R974" s="1">
        <v>53</v>
      </c>
      <c r="S974" s="1">
        <v>70.8</v>
      </c>
    </row>
    <row r="975" spans="1:19" ht="15">
      <c r="A975" s="1">
        <v>55</v>
      </c>
      <c r="B975" s="1" t="s">
        <v>82</v>
      </c>
      <c r="C975" s="1" t="s">
        <v>78</v>
      </c>
      <c r="D975" s="1">
        <v>2021</v>
      </c>
      <c r="E975" s="1" t="s">
        <v>22</v>
      </c>
      <c r="F975" s="1">
        <v>166551865</v>
      </c>
      <c r="G975" s="1">
        <v>82910241</v>
      </c>
      <c r="H975" s="1">
        <v>83641624</v>
      </c>
      <c r="I975" s="1">
        <v>16031929</v>
      </c>
      <c r="J975" s="1">
        <v>509576</v>
      </c>
      <c r="K975" s="1">
        <v>9.6300000000000008</v>
      </c>
      <c r="L975" s="1">
        <v>24.62</v>
      </c>
      <c r="M975" s="1">
        <v>13.87</v>
      </c>
      <c r="N975" s="1">
        <v>13.63</v>
      </c>
      <c r="O975" s="1">
        <v>27.53</v>
      </c>
      <c r="P975" s="1">
        <v>24.67</v>
      </c>
      <c r="Q975" s="1">
        <v>4900.5600000000004</v>
      </c>
      <c r="R975" s="1">
        <v>79</v>
      </c>
      <c r="S975" s="1">
        <v>75.2</v>
      </c>
    </row>
    <row r="976" spans="1:19" ht="15">
      <c r="A976" s="1">
        <v>55</v>
      </c>
      <c r="B976" s="1" t="s">
        <v>82</v>
      </c>
      <c r="C976" s="1" t="s">
        <v>78</v>
      </c>
      <c r="D976" s="1">
        <v>2021</v>
      </c>
      <c r="E976" s="1" t="s">
        <v>23</v>
      </c>
      <c r="F976" s="1">
        <v>53221931</v>
      </c>
      <c r="G976" s="1">
        <v>27233322</v>
      </c>
      <c r="H976" s="1">
        <v>25988609</v>
      </c>
      <c r="I976" s="1">
        <v>4977647</v>
      </c>
      <c r="J976" s="1">
        <v>305450</v>
      </c>
      <c r="K976" s="1">
        <v>9.35</v>
      </c>
      <c r="L976" s="1">
        <v>27.52</v>
      </c>
      <c r="M976" s="1">
        <v>31.38</v>
      </c>
      <c r="N976" s="1">
        <v>12.1</v>
      </c>
      <c r="O976" s="1">
        <v>31.83</v>
      </c>
      <c r="P976" s="1">
        <v>25.51</v>
      </c>
      <c r="Q976" s="1">
        <v>4444.6099999999997</v>
      </c>
      <c r="R976" s="1">
        <v>58</v>
      </c>
      <c r="S976" s="1">
        <v>61.1</v>
      </c>
    </row>
    <row r="977" spans="1:19" ht="15">
      <c r="A977" s="1">
        <v>55</v>
      </c>
      <c r="B977" s="1" t="s">
        <v>82</v>
      </c>
      <c r="C977" s="1" t="s">
        <v>78</v>
      </c>
      <c r="D977" s="1">
        <v>2022</v>
      </c>
      <c r="E977" s="1" t="s">
        <v>21</v>
      </c>
      <c r="F977" s="1">
        <v>198753653</v>
      </c>
      <c r="G977" s="1">
        <v>102082297</v>
      </c>
      <c r="H977" s="1">
        <v>96671356</v>
      </c>
      <c r="I977" s="1">
        <v>10656116</v>
      </c>
      <c r="J977" s="1">
        <v>472279</v>
      </c>
      <c r="K977" s="1">
        <v>5.36</v>
      </c>
      <c r="L977" s="1">
        <v>12.36</v>
      </c>
      <c r="M977" s="1">
        <v>16.739999999999998</v>
      </c>
      <c r="N977" s="1">
        <v>10.36</v>
      </c>
      <c r="O977" s="1">
        <v>24.88</v>
      </c>
      <c r="P977" s="1">
        <v>18.11</v>
      </c>
      <c r="Q977" s="1">
        <v>5790.3</v>
      </c>
      <c r="R977" s="1">
        <v>82</v>
      </c>
      <c r="S977" s="1">
        <v>81</v>
      </c>
    </row>
    <row r="978" spans="1:19" ht="15">
      <c r="A978" s="1">
        <v>55</v>
      </c>
      <c r="B978" s="1" t="s">
        <v>82</v>
      </c>
      <c r="C978" s="1" t="s">
        <v>78</v>
      </c>
      <c r="D978" s="1">
        <v>2022</v>
      </c>
      <c r="E978" s="1" t="s">
        <v>22</v>
      </c>
      <c r="F978" s="1">
        <v>116300315</v>
      </c>
      <c r="G978" s="1">
        <v>56644282</v>
      </c>
      <c r="H978" s="1">
        <v>59656033</v>
      </c>
      <c r="I978" s="1">
        <v>9805976</v>
      </c>
      <c r="J978" s="1">
        <v>360944</v>
      </c>
      <c r="K978" s="1">
        <v>8.43</v>
      </c>
      <c r="L978" s="1">
        <v>25.52</v>
      </c>
      <c r="M978" s="1">
        <v>11.31</v>
      </c>
      <c r="N978" s="1">
        <v>10.49</v>
      </c>
      <c r="O978" s="1">
        <v>36.22</v>
      </c>
      <c r="P978" s="1">
        <v>22.12</v>
      </c>
      <c r="Q978" s="1">
        <v>1818.39</v>
      </c>
      <c r="R978" s="1">
        <v>43</v>
      </c>
      <c r="S978" s="1">
        <v>66</v>
      </c>
    </row>
    <row r="979" spans="1:19" ht="15">
      <c r="A979" s="1">
        <v>55</v>
      </c>
      <c r="B979" s="1" t="s">
        <v>82</v>
      </c>
      <c r="C979" s="1" t="s">
        <v>78</v>
      </c>
      <c r="D979" s="1">
        <v>2022</v>
      </c>
      <c r="E979" s="1" t="s">
        <v>23</v>
      </c>
      <c r="F979" s="1">
        <v>112518603</v>
      </c>
      <c r="G979" s="1">
        <v>56120778</v>
      </c>
      <c r="H979" s="1">
        <v>56397825</v>
      </c>
      <c r="I979" s="1">
        <v>10783187</v>
      </c>
      <c r="J979" s="1">
        <v>471781</v>
      </c>
      <c r="K979" s="1">
        <v>9.58</v>
      </c>
      <c r="L979" s="1">
        <v>26.77</v>
      </c>
      <c r="M979" s="1">
        <v>24.17</v>
      </c>
      <c r="N979" s="1">
        <v>14.77</v>
      </c>
      <c r="O979" s="1">
        <v>30.7</v>
      </c>
      <c r="P979" s="1">
        <v>28.66</v>
      </c>
      <c r="Q979" s="1">
        <v>1808.3</v>
      </c>
      <c r="R979" s="1">
        <v>83</v>
      </c>
      <c r="S979" s="1">
        <v>81.7</v>
      </c>
    </row>
    <row r="980" spans="1:19" ht="15">
      <c r="A980" s="1">
        <v>55</v>
      </c>
      <c r="B980" s="1" t="s">
        <v>82</v>
      </c>
      <c r="C980" s="1" t="s">
        <v>78</v>
      </c>
      <c r="D980" s="1">
        <v>2023</v>
      </c>
      <c r="E980" s="1" t="s">
        <v>21</v>
      </c>
      <c r="F980" s="1">
        <v>150248794</v>
      </c>
      <c r="G980" s="1">
        <v>72130536</v>
      </c>
      <c r="H980" s="1">
        <v>78118258</v>
      </c>
      <c r="I980" s="1">
        <v>11339944</v>
      </c>
      <c r="J980" s="1">
        <v>375496</v>
      </c>
      <c r="K980" s="1">
        <v>7.55</v>
      </c>
      <c r="L980" s="1">
        <v>10.1</v>
      </c>
      <c r="M980" s="1">
        <v>11.55</v>
      </c>
      <c r="N980" s="1">
        <v>14.61</v>
      </c>
      <c r="O980" s="1">
        <v>24.99</v>
      </c>
      <c r="P980" s="1">
        <v>21.82</v>
      </c>
      <c r="Q980" s="1">
        <v>8888.41</v>
      </c>
      <c r="R980" s="1">
        <v>42</v>
      </c>
      <c r="S980" s="1">
        <v>74.7</v>
      </c>
    </row>
    <row r="981" spans="1:19" ht="15">
      <c r="A981" s="1">
        <v>55</v>
      </c>
      <c r="B981" s="1" t="s">
        <v>82</v>
      </c>
      <c r="C981" s="1" t="s">
        <v>78</v>
      </c>
      <c r="D981" s="1">
        <v>2023</v>
      </c>
      <c r="E981" s="1" t="s">
        <v>22</v>
      </c>
      <c r="F981" s="1">
        <v>49766261</v>
      </c>
      <c r="G981" s="1">
        <v>25309475</v>
      </c>
      <c r="H981" s="1">
        <v>24456786</v>
      </c>
      <c r="I981" s="1">
        <v>4143052</v>
      </c>
      <c r="J981" s="1">
        <v>180521</v>
      </c>
      <c r="K981" s="1">
        <v>8.33</v>
      </c>
      <c r="L981" s="1">
        <v>11.88</v>
      </c>
      <c r="M981" s="1">
        <v>26.82</v>
      </c>
      <c r="N981" s="1">
        <v>7.4</v>
      </c>
      <c r="O981" s="1">
        <v>39.549999999999997</v>
      </c>
      <c r="P981" s="1">
        <v>32.49</v>
      </c>
      <c r="Q981" s="1">
        <v>7292.8</v>
      </c>
      <c r="R981" s="1">
        <v>73</v>
      </c>
      <c r="S981" s="1">
        <v>71.2</v>
      </c>
    </row>
    <row r="982" spans="1:19" ht="15">
      <c r="A982" s="1">
        <v>55</v>
      </c>
      <c r="B982" s="1" t="s">
        <v>82</v>
      </c>
      <c r="C982" s="1" t="s">
        <v>78</v>
      </c>
      <c r="D982" s="1">
        <v>2023</v>
      </c>
      <c r="E982" s="1" t="s">
        <v>23</v>
      </c>
      <c r="F982" s="1">
        <v>75510280</v>
      </c>
      <c r="G982" s="1">
        <v>36614012</v>
      </c>
      <c r="H982" s="1">
        <v>38896268</v>
      </c>
      <c r="I982" s="1">
        <v>5533725</v>
      </c>
      <c r="J982" s="1">
        <v>203490</v>
      </c>
      <c r="K982" s="1">
        <v>7.33</v>
      </c>
      <c r="L982" s="1">
        <v>13.93</v>
      </c>
      <c r="M982" s="1">
        <v>34.58</v>
      </c>
      <c r="N982" s="1">
        <v>5.5</v>
      </c>
      <c r="O982" s="1">
        <v>21.69</v>
      </c>
      <c r="P982" s="1">
        <v>21.09</v>
      </c>
      <c r="Q982" s="1">
        <v>9548.6</v>
      </c>
      <c r="R982" s="1">
        <v>47</v>
      </c>
      <c r="S982" s="1">
        <v>81.900000000000006</v>
      </c>
    </row>
    <row r="983" spans="1:19" ht="15">
      <c r="A983" s="1">
        <v>55</v>
      </c>
      <c r="B983" s="1" t="s">
        <v>82</v>
      </c>
      <c r="C983" s="1" t="s">
        <v>78</v>
      </c>
      <c r="D983" s="1">
        <v>2024</v>
      </c>
      <c r="E983" s="1" t="s">
        <v>21</v>
      </c>
      <c r="F983" s="1">
        <v>124852576</v>
      </c>
      <c r="G983" s="1">
        <v>63363296</v>
      </c>
      <c r="H983" s="1">
        <v>61489280</v>
      </c>
      <c r="I983" s="1">
        <v>7228637</v>
      </c>
      <c r="J983" s="1">
        <v>256148</v>
      </c>
      <c r="K983" s="1">
        <v>5.79</v>
      </c>
      <c r="L983" s="1">
        <v>24.95</v>
      </c>
      <c r="M983" s="1">
        <v>23.67</v>
      </c>
      <c r="N983" s="1">
        <v>13.67</v>
      </c>
      <c r="O983" s="1">
        <v>36.24</v>
      </c>
      <c r="P983" s="1">
        <v>27.53</v>
      </c>
      <c r="Q983" s="1">
        <v>7379.66</v>
      </c>
      <c r="R983" s="1">
        <v>57</v>
      </c>
      <c r="S983" s="1">
        <v>64.599999999999994</v>
      </c>
    </row>
    <row r="984" spans="1:19" ht="15">
      <c r="A984" s="1">
        <v>55</v>
      </c>
      <c r="B984" s="1" t="s">
        <v>82</v>
      </c>
      <c r="C984" s="1" t="s">
        <v>78</v>
      </c>
      <c r="D984" s="1">
        <v>2024</v>
      </c>
      <c r="E984" s="1" t="s">
        <v>22</v>
      </c>
      <c r="F984" s="1">
        <v>151005596</v>
      </c>
      <c r="G984" s="1">
        <v>72892716</v>
      </c>
      <c r="H984" s="1">
        <v>78112880</v>
      </c>
      <c r="I984" s="1">
        <v>7683010</v>
      </c>
      <c r="J984" s="1">
        <v>306428</v>
      </c>
      <c r="K984" s="1">
        <v>5.09</v>
      </c>
      <c r="L984" s="1">
        <v>14.1</v>
      </c>
      <c r="M984" s="1">
        <v>14.42</v>
      </c>
      <c r="N984" s="1">
        <v>10.3</v>
      </c>
      <c r="O984" s="1">
        <v>35.880000000000003</v>
      </c>
      <c r="P984" s="1">
        <v>27.86</v>
      </c>
      <c r="Q984" s="1">
        <v>3752.58</v>
      </c>
      <c r="R984" s="1">
        <v>49</v>
      </c>
      <c r="S984" s="1">
        <v>66.8</v>
      </c>
    </row>
    <row r="985" spans="1:19" ht="15">
      <c r="A985" s="1">
        <v>55</v>
      </c>
      <c r="B985" s="1" t="s">
        <v>82</v>
      </c>
      <c r="C985" s="1" t="s">
        <v>78</v>
      </c>
      <c r="D985" s="1">
        <v>2024</v>
      </c>
      <c r="E985" s="1" t="s">
        <v>23</v>
      </c>
      <c r="F985" s="1">
        <v>167091083</v>
      </c>
      <c r="G985" s="1">
        <v>82679157</v>
      </c>
      <c r="H985" s="1">
        <v>84411926</v>
      </c>
      <c r="I985" s="1">
        <v>9922689</v>
      </c>
      <c r="J985" s="1">
        <v>430664</v>
      </c>
      <c r="K985" s="1">
        <v>5.94</v>
      </c>
      <c r="L985" s="1">
        <v>10.48</v>
      </c>
      <c r="M985" s="1">
        <v>28.3</v>
      </c>
      <c r="N985" s="1">
        <v>5.37</v>
      </c>
      <c r="O985" s="1">
        <v>28.74</v>
      </c>
      <c r="P985" s="1">
        <v>29.05</v>
      </c>
      <c r="Q985" s="1">
        <v>4939.42</v>
      </c>
      <c r="R985" s="1">
        <v>66</v>
      </c>
      <c r="S985" s="1">
        <v>69.099999999999994</v>
      </c>
    </row>
    <row r="986" spans="1:19" ht="15">
      <c r="A986" s="1">
        <v>55</v>
      </c>
      <c r="B986" s="1" t="s">
        <v>82</v>
      </c>
      <c r="C986" s="1" t="s">
        <v>78</v>
      </c>
      <c r="D986" s="1">
        <v>2025</v>
      </c>
      <c r="E986" s="1" t="s">
        <v>21</v>
      </c>
      <c r="F986" s="1">
        <v>169374604</v>
      </c>
      <c r="G986" s="1">
        <v>83277525</v>
      </c>
      <c r="H986" s="1">
        <v>86097079</v>
      </c>
      <c r="I986" s="1">
        <v>16084486</v>
      </c>
      <c r="J986" s="1">
        <v>840975</v>
      </c>
      <c r="K986" s="1">
        <v>9.5</v>
      </c>
      <c r="L986" s="1">
        <v>28.79</v>
      </c>
      <c r="M986" s="1">
        <v>26.89</v>
      </c>
      <c r="N986" s="1">
        <v>10.84</v>
      </c>
      <c r="O986" s="1">
        <v>26.44</v>
      </c>
      <c r="P986" s="1">
        <v>26.96</v>
      </c>
      <c r="Q986" s="1">
        <v>856.17</v>
      </c>
      <c r="R986" s="1">
        <v>45</v>
      </c>
      <c r="S986" s="1">
        <v>82.3</v>
      </c>
    </row>
    <row r="987" spans="1:19" ht="15">
      <c r="A987" s="1">
        <v>55</v>
      </c>
      <c r="B987" s="1" t="s">
        <v>82</v>
      </c>
      <c r="C987" s="1" t="s">
        <v>78</v>
      </c>
      <c r="D987" s="1">
        <v>2025</v>
      </c>
      <c r="E987" s="1" t="s">
        <v>22</v>
      </c>
      <c r="F987" s="1">
        <v>199068630</v>
      </c>
      <c r="G987" s="1">
        <v>98155936</v>
      </c>
      <c r="H987" s="1">
        <v>100912694</v>
      </c>
      <c r="I987" s="1">
        <v>13436551</v>
      </c>
      <c r="J987" s="1">
        <v>800494</v>
      </c>
      <c r="K987" s="1">
        <v>6.75</v>
      </c>
      <c r="L987" s="1">
        <v>25.16</v>
      </c>
      <c r="M987" s="1">
        <v>20.58</v>
      </c>
      <c r="N987" s="1">
        <v>10.67</v>
      </c>
      <c r="O987" s="1">
        <v>22.97</v>
      </c>
      <c r="P987" s="1">
        <v>15.08</v>
      </c>
      <c r="Q987" s="1">
        <v>3068.58</v>
      </c>
      <c r="R987" s="1">
        <v>42</v>
      </c>
      <c r="S987" s="1">
        <v>74.7</v>
      </c>
    </row>
    <row r="988" spans="1:19" ht="15">
      <c r="A988" s="1">
        <v>55</v>
      </c>
      <c r="B988" s="1" t="s">
        <v>82</v>
      </c>
      <c r="C988" s="1" t="s">
        <v>78</v>
      </c>
      <c r="D988" s="1">
        <v>2025</v>
      </c>
      <c r="E988" s="1" t="s">
        <v>23</v>
      </c>
      <c r="F988" s="1">
        <v>101508496</v>
      </c>
      <c r="G988" s="1">
        <v>50271078</v>
      </c>
      <c r="H988" s="1">
        <v>51237418</v>
      </c>
      <c r="I988" s="1">
        <v>8386982</v>
      </c>
      <c r="J988" s="1">
        <v>659259</v>
      </c>
      <c r="K988" s="1">
        <v>8.26</v>
      </c>
      <c r="L988" s="1">
        <v>21.13</v>
      </c>
      <c r="M988" s="1">
        <v>21.42</v>
      </c>
      <c r="N988" s="1">
        <v>10.07</v>
      </c>
      <c r="O988" s="1">
        <v>23.18</v>
      </c>
      <c r="P988" s="1">
        <v>24.97</v>
      </c>
      <c r="Q988" s="1">
        <v>4655.3100000000004</v>
      </c>
      <c r="R988" s="1">
        <v>48</v>
      </c>
      <c r="S988" s="1">
        <v>66</v>
      </c>
    </row>
    <row r="989" spans="1:19" ht="15">
      <c r="A989" s="1">
        <v>55</v>
      </c>
      <c r="B989" s="1" t="s">
        <v>82</v>
      </c>
      <c r="C989" s="1" t="s">
        <v>78</v>
      </c>
      <c r="D989" s="1">
        <v>2026</v>
      </c>
      <c r="E989" s="1" t="s">
        <v>21</v>
      </c>
      <c r="F989" s="1">
        <v>23558100</v>
      </c>
      <c r="G989" s="1">
        <v>11943642</v>
      </c>
      <c r="H989" s="1">
        <v>11614458</v>
      </c>
      <c r="I989" s="1">
        <v>1718519</v>
      </c>
      <c r="J989" s="1">
        <v>116768</v>
      </c>
      <c r="K989" s="1">
        <v>7.29</v>
      </c>
      <c r="L989" s="1">
        <v>14.7</v>
      </c>
      <c r="M989" s="1">
        <v>10.97</v>
      </c>
      <c r="N989" s="1">
        <v>6.97</v>
      </c>
      <c r="O989" s="1">
        <v>27.44</v>
      </c>
      <c r="P989" s="1">
        <v>17.7</v>
      </c>
      <c r="Q989" s="1">
        <v>7849.36</v>
      </c>
      <c r="R989" s="1">
        <v>66</v>
      </c>
      <c r="S989" s="1">
        <v>69.5</v>
      </c>
    </row>
    <row r="990" spans="1:19" ht="15">
      <c r="A990" s="1">
        <v>55</v>
      </c>
      <c r="B990" s="1" t="s">
        <v>82</v>
      </c>
      <c r="C990" s="1" t="s">
        <v>78</v>
      </c>
      <c r="D990" s="1">
        <v>2026</v>
      </c>
      <c r="E990" s="1" t="s">
        <v>22</v>
      </c>
      <c r="F990" s="1">
        <v>94294759</v>
      </c>
      <c r="G990" s="1">
        <v>46663014</v>
      </c>
      <c r="H990" s="1">
        <v>47631745</v>
      </c>
      <c r="I990" s="1">
        <v>8886631</v>
      </c>
      <c r="J990" s="1">
        <v>592639</v>
      </c>
      <c r="K990" s="1">
        <v>9.42</v>
      </c>
      <c r="L990" s="1">
        <v>25.16</v>
      </c>
      <c r="M990" s="1">
        <v>28.98</v>
      </c>
      <c r="N990" s="1">
        <v>7.62</v>
      </c>
      <c r="O990" s="1">
        <v>26.1</v>
      </c>
      <c r="P990" s="1">
        <v>18.37</v>
      </c>
      <c r="Q990" s="1">
        <v>3460.38</v>
      </c>
      <c r="R990" s="1">
        <v>47</v>
      </c>
      <c r="S990" s="1">
        <v>76.2</v>
      </c>
    </row>
    <row r="991" spans="1:19" ht="15">
      <c r="A991" s="1">
        <v>55</v>
      </c>
      <c r="B991" s="1" t="s">
        <v>82</v>
      </c>
      <c r="C991" s="1" t="s">
        <v>78</v>
      </c>
      <c r="D991" s="1">
        <v>2026</v>
      </c>
      <c r="E991" s="1" t="s">
        <v>23</v>
      </c>
      <c r="F991" s="1">
        <v>119793933</v>
      </c>
      <c r="G991" s="1">
        <v>60293559</v>
      </c>
      <c r="H991" s="1">
        <v>59500374</v>
      </c>
      <c r="I991" s="1">
        <v>9679118</v>
      </c>
      <c r="J991" s="1">
        <v>304921</v>
      </c>
      <c r="K991" s="1">
        <v>8.08</v>
      </c>
      <c r="L991" s="1">
        <v>25.6</v>
      </c>
      <c r="M991" s="1">
        <v>22.96</v>
      </c>
      <c r="N991" s="1">
        <v>6.76</v>
      </c>
      <c r="O991" s="1">
        <v>33.299999999999997</v>
      </c>
      <c r="P991" s="1">
        <v>24.34</v>
      </c>
      <c r="Q991" s="1">
        <v>1098.1199999999999</v>
      </c>
      <c r="R991" s="1">
        <v>54</v>
      </c>
      <c r="S991" s="1">
        <v>61</v>
      </c>
    </row>
    <row r="992" spans="1:19" ht="15">
      <c r="A992" s="1">
        <v>56</v>
      </c>
      <c r="B992" s="1" t="s">
        <v>83</v>
      </c>
      <c r="C992" s="1" t="s">
        <v>78</v>
      </c>
      <c r="D992" s="1">
        <v>2021</v>
      </c>
      <c r="E992" s="1" t="s">
        <v>21</v>
      </c>
      <c r="F992" s="1">
        <v>34208809</v>
      </c>
      <c r="G992" s="1">
        <v>17214684</v>
      </c>
      <c r="H992" s="1">
        <v>16994125</v>
      </c>
      <c r="I992" s="1">
        <v>2955866</v>
      </c>
      <c r="J992" s="1">
        <v>118471</v>
      </c>
      <c r="K992" s="1">
        <v>8.64</v>
      </c>
      <c r="L992" s="1">
        <v>21.12</v>
      </c>
      <c r="M992" s="1">
        <v>22.3</v>
      </c>
      <c r="N992" s="1">
        <v>8.2200000000000006</v>
      </c>
      <c r="O992" s="1">
        <v>35.049999999999997</v>
      </c>
      <c r="P992" s="1">
        <v>30.94</v>
      </c>
      <c r="Q992" s="1">
        <v>11796.14</v>
      </c>
      <c r="R992" s="1">
        <v>64</v>
      </c>
      <c r="S992" s="1">
        <v>67.099999999999994</v>
      </c>
    </row>
    <row r="993" spans="1:19" ht="15">
      <c r="A993" s="1">
        <v>56</v>
      </c>
      <c r="B993" s="1" t="s">
        <v>83</v>
      </c>
      <c r="C993" s="1" t="s">
        <v>78</v>
      </c>
      <c r="D993" s="1">
        <v>2021</v>
      </c>
      <c r="E993" s="1" t="s">
        <v>22</v>
      </c>
      <c r="F993" s="1">
        <v>140501115</v>
      </c>
      <c r="G993" s="1">
        <v>70883439</v>
      </c>
      <c r="H993" s="1">
        <v>69617676</v>
      </c>
      <c r="I993" s="1">
        <v>7959440</v>
      </c>
      <c r="J993" s="1">
        <v>326541</v>
      </c>
      <c r="K993" s="1">
        <v>5.67</v>
      </c>
      <c r="L993" s="1">
        <v>29.9</v>
      </c>
      <c r="M993" s="1">
        <v>26.83</v>
      </c>
      <c r="N993" s="1">
        <v>8.6</v>
      </c>
      <c r="O993" s="1">
        <v>22.83</v>
      </c>
      <c r="P993" s="1">
        <v>21.17</v>
      </c>
      <c r="Q993" s="1">
        <v>8417.9599999999991</v>
      </c>
      <c r="R993" s="1">
        <v>72</v>
      </c>
      <c r="S993" s="1">
        <v>67.099999999999994</v>
      </c>
    </row>
    <row r="994" spans="1:19" ht="15">
      <c r="A994" s="1">
        <v>56</v>
      </c>
      <c r="B994" s="1" t="s">
        <v>83</v>
      </c>
      <c r="C994" s="1" t="s">
        <v>78</v>
      </c>
      <c r="D994" s="1">
        <v>2021</v>
      </c>
      <c r="E994" s="1" t="s">
        <v>23</v>
      </c>
      <c r="F994" s="1">
        <v>51339924</v>
      </c>
      <c r="G994" s="1">
        <v>26684596</v>
      </c>
      <c r="H994" s="1">
        <v>24655328</v>
      </c>
      <c r="I994" s="1">
        <v>5016252</v>
      </c>
      <c r="J994" s="1">
        <v>397075</v>
      </c>
      <c r="K994" s="1">
        <v>9.77</v>
      </c>
      <c r="L994" s="1">
        <v>14.74</v>
      </c>
      <c r="M994" s="1">
        <v>14.62</v>
      </c>
      <c r="N994" s="1">
        <v>7.98</v>
      </c>
      <c r="O994" s="1">
        <v>26.82</v>
      </c>
      <c r="P994" s="1">
        <v>25.63</v>
      </c>
      <c r="Q994" s="1">
        <v>11810.15</v>
      </c>
      <c r="R994" s="1">
        <v>60</v>
      </c>
      <c r="S994" s="1">
        <v>74</v>
      </c>
    </row>
    <row r="995" spans="1:19" ht="15">
      <c r="A995" s="1">
        <v>56</v>
      </c>
      <c r="B995" s="1" t="s">
        <v>83</v>
      </c>
      <c r="C995" s="1" t="s">
        <v>78</v>
      </c>
      <c r="D995" s="1">
        <v>2022</v>
      </c>
      <c r="E995" s="1" t="s">
        <v>21</v>
      </c>
      <c r="F995" s="1">
        <v>185338653</v>
      </c>
      <c r="G995" s="1">
        <v>93297884</v>
      </c>
      <c r="H995" s="1">
        <v>92040769</v>
      </c>
      <c r="I995" s="1">
        <v>17522058</v>
      </c>
      <c r="J995" s="1">
        <v>693500</v>
      </c>
      <c r="K995" s="1">
        <v>9.4499999999999993</v>
      </c>
      <c r="L995" s="1">
        <v>14.17</v>
      </c>
      <c r="M995" s="1">
        <v>21.61</v>
      </c>
      <c r="N995" s="1">
        <v>11.05</v>
      </c>
      <c r="O995" s="1">
        <v>32.380000000000003</v>
      </c>
      <c r="P995" s="1">
        <v>31.27</v>
      </c>
      <c r="Q995" s="1">
        <v>10669.96</v>
      </c>
      <c r="R995" s="1">
        <v>47</v>
      </c>
      <c r="S995" s="1">
        <v>71.2</v>
      </c>
    </row>
    <row r="996" spans="1:19" ht="15">
      <c r="A996" s="1">
        <v>56</v>
      </c>
      <c r="B996" s="1" t="s">
        <v>83</v>
      </c>
      <c r="C996" s="1" t="s">
        <v>78</v>
      </c>
      <c r="D996" s="1">
        <v>2022</v>
      </c>
      <c r="E996" s="1" t="s">
        <v>22</v>
      </c>
      <c r="F996" s="1">
        <v>33496711</v>
      </c>
      <c r="G996" s="1">
        <v>16420838</v>
      </c>
      <c r="H996" s="1">
        <v>17075873</v>
      </c>
      <c r="I996" s="1">
        <v>2024125</v>
      </c>
      <c r="J996" s="1">
        <v>117026</v>
      </c>
      <c r="K996" s="1">
        <v>6.04</v>
      </c>
      <c r="L996" s="1">
        <v>26.15</v>
      </c>
      <c r="M996" s="1">
        <v>23.81</v>
      </c>
      <c r="N996" s="1">
        <v>5.33</v>
      </c>
      <c r="O996" s="1">
        <v>20.420000000000002</v>
      </c>
      <c r="P996" s="1">
        <v>16.37</v>
      </c>
      <c r="Q996" s="1">
        <v>5490.46</v>
      </c>
      <c r="R996" s="1">
        <v>50</v>
      </c>
      <c r="S996" s="1">
        <v>73.599999999999994</v>
      </c>
    </row>
    <row r="997" spans="1:19" ht="15">
      <c r="A997" s="1">
        <v>56</v>
      </c>
      <c r="B997" s="1" t="s">
        <v>83</v>
      </c>
      <c r="C997" s="1" t="s">
        <v>78</v>
      </c>
      <c r="D997" s="1">
        <v>2022</v>
      </c>
      <c r="E997" s="1" t="s">
        <v>23</v>
      </c>
      <c r="F997" s="1">
        <v>98934539</v>
      </c>
      <c r="G997" s="1">
        <v>50841333</v>
      </c>
      <c r="H997" s="1">
        <v>48093206</v>
      </c>
      <c r="I997" s="1">
        <v>9035291</v>
      </c>
      <c r="J997" s="1">
        <v>390444</v>
      </c>
      <c r="K997" s="1">
        <v>9.1300000000000008</v>
      </c>
      <c r="L997" s="1">
        <v>23.35</v>
      </c>
      <c r="M997" s="1">
        <v>19.13</v>
      </c>
      <c r="N997" s="1">
        <v>8.81</v>
      </c>
      <c r="O997" s="1">
        <v>35.450000000000003</v>
      </c>
      <c r="P997" s="1">
        <v>16.04</v>
      </c>
      <c r="Q997" s="1">
        <v>3159.94</v>
      </c>
      <c r="R997" s="1">
        <v>58</v>
      </c>
      <c r="S997" s="1">
        <v>70.8</v>
      </c>
    </row>
    <row r="998" spans="1:19" ht="15">
      <c r="A998" s="1">
        <v>56</v>
      </c>
      <c r="B998" s="1" t="s">
        <v>83</v>
      </c>
      <c r="C998" s="1" t="s">
        <v>78</v>
      </c>
      <c r="D998" s="1">
        <v>2023</v>
      </c>
      <c r="E998" s="1" t="s">
        <v>21</v>
      </c>
      <c r="F998" s="1">
        <v>123753473</v>
      </c>
      <c r="G998" s="1">
        <v>62801386</v>
      </c>
      <c r="H998" s="1">
        <v>60952087</v>
      </c>
      <c r="I998" s="1">
        <v>11041903</v>
      </c>
      <c r="J998" s="1">
        <v>830986</v>
      </c>
      <c r="K998" s="1">
        <v>8.92</v>
      </c>
      <c r="L998" s="1">
        <v>25.43</v>
      </c>
      <c r="M998" s="1">
        <v>21.92</v>
      </c>
      <c r="N998" s="1">
        <v>7.45</v>
      </c>
      <c r="O998" s="1">
        <v>22.27</v>
      </c>
      <c r="P998" s="1">
        <v>24.18</v>
      </c>
      <c r="Q998" s="1">
        <v>3484.11</v>
      </c>
      <c r="R998" s="1">
        <v>78</v>
      </c>
      <c r="S998" s="1">
        <v>80.5</v>
      </c>
    </row>
    <row r="999" spans="1:19" ht="15">
      <c r="A999" s="1">
        <v>56</v>
      </c>
      <c r="B999" s="1" t="s">
        <v>83</v>
      </c>
      <c r="C999" s="1" t="s">
        <v>78</v>
      </c>
      <c r="D999" s="1">
        <v>2023</v>
      </c>
      <c r="E999" s="1" t="s">
        <v>22</v>
      </c>
      <c r="F999" s="1">
        <v>125018256</v>
      </c>
      <c r="G999" s="1">
        <v>64767220</v>
      </c>
      <c r="H999" s="1">
        <v>60251036</v>
      </c>
      <c r="I999" s="1">
        <v>7573601</v>
      </c>
      <c r="J999" s="1">
        <v>411119</v>
      </c>
      <c r="K999" s="1">
        <v>6.06</v>
      </c>
      <c r="L999" s="1">
        <v>26.68</v>
      </c>
      <c r="M999" s="1">
        <v>22.93</v>
      </c>
      <c r="N999" s="1">
        <v>14.52</v>
      </c>
      <c r="O999" s="1">
        <v>23.72</v>
      </c>
      <c r="P999" s="1">
        <v>30.18</v>
      </c>
      <c r="Q999" s="1">
        <v>11767.17</v>
      </c>
      <c r="R999" s="1">
        <v>63</v>
      </c>
      <c r="S999" s="1">
        <v>62.4</v>
      </c>
    </row>
    <row r="1000" spans="1:19" ht="15">
      <c r="A1000" s="1">
        <v>56</v>
      </c>
      <c r="B1000" s="1" t="s">
        <v>83</v>
      </c>
      <c r="C1000" s="1" t="s">
        <v>78</v>
      </c>
      <c r="D1000" s="1">
        <v>2023</v>
      </c>
      <c r="E1000" s="1" t="s">
        <v>23</v>
      </c>
      <c r="F1000" s="1">
        <v>130573332</v>
      </c>
      <c r="G1000" s="1">
        <v>63989386</v>
      </c>
      <c r="H1000" s="1">
        <v>66583946</v>
      </c>
      <c r="I1000" s="1">
        <v>13048586</v>
      </c>
      <c r="J1000" s="1">
        <v>404404</v>
      </c>
      <c r="K1000" s="1">
        <v>9.99</v>
      </c>
      <c r="L1000" s="1">
        <v>10.09</v>
      </c>
      <c r="M1000" s="1">
        <v>24.73</v>
      </c>
      <c r="N1000" s="1">
        <v>6.5</v>
      </c>
      <c r="O1000" s="1">
        <v>29.22</v>
      </c>
      <c r="P1000" s="1">
        <v>38.479999999999997</v>
      </c>
      <c r="Q1000" s="1">
        <v>7638.78</v>
      </c>
      <c r="R1000" s="1">
        <v>67</v>
      </c>
      <c r="S1000" s="1">
        <v>67</v>
      </c>
    </row>
    <row r="1001" spans="1:19" ht="15">
      <c r="A1001" s="1">
        <v>56</v>
      </c>
      <c r="B1001" s="1" t="s">
        <v>83</v>
      </c>
      <c r="C1001" s="1" t="s">
        <v>78</v>
      </c>
      <c r="D1001" s="1">
        <v>2024</v>
      </c>
      <c r="E1001" s="1" t="s">
        <v>21</v>
      </c>
      <c r="F1001" s="1">
        <v>86295625</v>
      </c>
      <c r="G1001" s="1">
        <v>42692049</v>
      </c>
      <c r="H1001" s="1">
        <v>43603576</v>
      </c>
      <c r="I1001" s="1">
        <v>5849516</v>
      </c>
      <c r="J1001" s="1">
        <v>395381</v>
      </c>
      <c r="K1001" s="1">
        <v>6.78</v>
      </c>
      <c r="L1001" s="1">
        <v>20.399999999999999</v>
      </c>
      <c r="M1001" s="1">
        <v>32.26</v>
      </c>
      <c r="N1001" s="1">
        <v>7.33</v>
      </c>
      <c r="O1001" s="1">
        <v>35.729999999999997</v>
      </c>
      <c r="P1001" s="1">
        <v>21.9</v>
      </c>
      <c r="Q1001" s="1">
        <v>6436.94</v>
      </c>
      <c r="R1001" s="1">
        <v>53</v>
      </c>
      <c r="S1001" s="1">
        <v>74.400000000000006</v>
      </c>
    </row>
    <row r="1002" spans="1:19" ht="15">
      <c r="A1002" s="1">
        <v>56</v>
      </c>
      <c r="B1002" s="1" t="s">
        <v>83</v>
      </c>
      <c r="C1002" s="1" t="s">
        <v>78</v>
      </c>
      <c r="D1002" s="1">
        <v>2024</v>
      </c>
      <c r="E1002" s="1" t="s">
        <v>22</v>
      </c>
      <c r="F1002" s="1">
        <v>4113978</v>
      </c>
      <c r="G1002" s="1">
        <v>2059819</v>
      </c>
      <c r="H1002" s="1">
        <v>2054159</v>
      </c>
      <c r="I1002" s="1">
        <v>288391</v>
      </c>
      <c r="J1002" s="1">
        <v>18709</v>
      </c>
      <c r="K1002" s="1">
        <v>7.01</v>
      </c>
      <c r="L1002" s="1">
        <v>19.36</v>
      </c>
      <c r="M1002" s="1">
        <v>15.38</v>
      </c>
      <c r="N1002" s="1">
        <v>14.86</v>
      </c>
      <c r="O1002" s="1">
        <v>37.14</v>
      </c>
      <c r="P1002" s="1">
        <v>16.87</v>
      </c>
      <c r="Q1002" s="1">
        <v>3940.9</v>
      </c>
      <c r="R1002" s="1">
        <v>62</v>
      </c>
      <c r="S1002" s="1">
        <v>74.5</v>
      </c>
    </row>
    <row r="1003" spans="1:19" ht="15">
      <c r="A1003" s="1">
        <v>56</v>
      </c>
      <c r="B1003" s="1" t="s">
        <v>83</v>
      </c>
      <c r="C1003" s="1" t="s">
        <v>78</v>
      </c>
      <c r="D1003" s="1">
        <v>2024</v>
      </c>
      <c r="E1003" s="1" t="s">
        <v>23</v>
      </c>
      <c r="F1003" s="1">
        <v>100681423</v>
      </c>
      <c r="G1003" s="1">
        <v>49108254</v>
      </c>
      <c r="H1003" s="1">
        <v>51573169</v>
      </c>
      <c r="I1003" s="1">
        <v>6723023</v>
      </c>
      <c r="J1003" s="1">
        <v>270722</v>
      </c>
      <c r="K1003" s="1">
        <v>6.68</v>
      </c>
      <c r="L1003" s="1">
        <v>11.03</v>
      </c>
      <c r="M1003" s="1">
        <v>32.83</v>
      </c>
      <c r="N1003" s="1">
        <v>9.01</v>
      </c>
      <c r="O1003" s="1">
        <v>21.3</v>
      </c>
      <c r="P1003" s="1">
        <v>26.47</v>
      </c>
      <c r="Q1003" s="1">
        <v>6090.53</v>
      </c>
      <c r="R1003" s="1">
        <v>65</v>
      </c>
      <c r="S1003" s="1">
        <v>77.5</v>
      </c>
    </row>
    <row r="1004" spans="1:19" ht="15">
      <c r="A1004" s="1">
        <v>56</v>
      </c>
      <c r="B1004" s="1" t="s">
        <v>83</v>
      </c>
      <c r="C1004" s="1" t="s">
        <v>78</v>
      </c>
      <c r="D1004" s="1">
        <v>2025</v>
      </c>
      <c r="E1004" s="1" t="s">
        <v>21</v>
      </c>
      <c r="F1004" s="1">
        <v>187173747</v>
      </c>
      <c r="G1004" s="1">
        <v>94881583</v>
      </c>
      <c r="H1004" s="1">
        <v>92292164</v>
      </c>
      <c r="I1004" s="1">
        <v>10704566</v>
      </c>
      <c r="J1004" s="1">
        <v>646503</v>
      </c>
      <c r="K1004" s="1">
        <v>5.72</v>
      </c>
      <c r="L1004" s="1">
        <v>19.41</v>
      </c>
      <c r="M1004" s="1">
        <v>29.92</v>
      </c>
      <c r="N1004" s="1">
        <v>14.73</v>
      </c>
      <c r="O1004" s="1">
        <v>31.66</v>
      </c>
      <c r="P1004" s="1">
        <v>23.92</v>
      </c>
      <c r="Q1004" s="1">
        <v>2572.35</v>
      </c>
      <c r="R1004" s="1">
        <v>63</v>
      </c>
      <c r="S1004" s="1">
        <v>61.2</v>
      </c>
    </row>
    <row r="1005" spans="1:19" ht="15">
      <c r="A1005" s="1">
        <v>56</v>
      </c>
      <c r="B1005" s="1" t="s">
        <v>83</v>
      </c>
      <c r="C1005" s="1" t="s">
        <v>78</v>
      </c>
      <c r="D1005" s="1">
        <v>2025</v>
      </c>
      <c r="E1005" s="1" t="s">
        <v>22</v>
      </c>
      <c r="F1005" s="1">
        <v>153785233</v>
      </c>
      <c r="G1005" s="1">
        <v>75656980</v>
      </c>
      <c r="H1005" s="1">
        <v>78128253</v>
      </c>
      <c r="I1005" s="1">
        <v>12875157</v>
      </c>
      <c r="J1005" s="1">
        <v>816172</v>
      </c>
      <c r="K1005" s="1">
        <v>8.3699999999999992</v>
      </c>
      <c r="L1005" s="1">
        <v>13.26</v>
      </c>
      <c r="M1005" s="1">
        <v>12.92</v>
      </c>
      <c r="N1005" s="1">
        <v>11.77</v>
      </c>
      <c r="O1005" s="1">
        <v>21.18</v>
      </c>
      <c r="P1005" s="1">
        <v>36.85</v>
      </c>
      <c r="Q1005" s="1">
        <v>7534.34</v>
      </c>
      <c r="R1005" s="1">
        <v>42</v>
      </c>
      <c r="S1005" s="1">
        <v>70.400000000000006</v>
      </c>
    </row>
    <row r="1006" spans="1:19" ht="15">
      <c r="A1006" s="1">
        <v>56</v>
      </c>
      <c r="B1006" s="1" t="s">
        <v>83</v>
      </c>
      <c r="C1006" s="1" t="s">
        <v>78</v>
      </c>
      <c r="D1006" s="1">
        <v>2025</v>
      </c>
      <c r="E1006" s="1" t="s">
        <v>23</v>
      </c>
      <c r="F1006" s="1">
        <v>120091911</v>
      </c>
      <c r="G1006" s="1">
        <v>58701652</v>
      </c>
      <c r="H1006" s="1">
        <v>61390259</v>
      </c>
      <c r="I1006" s="1">
        <v>9766790</v>
      </c>
      <c r="J1006" s="1">
        <v>764184</v>
      </c>
      <c r="K1006" s="1">
        <v>8.1300000000000008</v>
      </c>
      <c r="L1006" s="1">
        <v>12.47</v>
      </c>
      <c r="M1006" s="1">
        <v>21.29</v>
      </c>
      <c r="N1006" s="1">
        <v>9.1</v>
      </c>
      <c r="O1006" s="1">
        <v>38.6</v>
      </c>
      <c r="P1006" s="1">
        <v>39.75</v>
      </c>
      <c r="Q1006" s="1">
        <v>7232.46</v>
      </c>
      <c r="R1006" s="1">
        <v>73</v>
      </c>
      <c r="S1006" s="1">
        <v>65.8</v>
      </c>
    </row>
    <row r="1007" spans="1:19" ht="15">
      <c r="A1007" s="1">
        <v>56</v>
      </c>
      <c r="B1007" s="1" t="s">
        <v>83</v>
      </c>
      <c r="C1007" s="1" t="s">
        <v>78</v>
      </c>
      <c r="D1007" s="1">
        <v>2026</v>
      </c>
      <c r="E1007" s="1" t="s">
        <v>21</v>
      </c>
      <c r="F1007" s="1">
        <v>64843828</v>
      </c>
      <c r="G1007" s="1">
        <v>31324713</v>
      </c>
      <c r="H1007" s="1">
        <v>33519115</v>
      </c>
      <c r="I1007" s="1">
        <v>4176012</v>
      </c>
      <c r="J1007" s="1">
        <v>204265</v>
      </c>
      <c r="K1007" s="1">
        <v>6.44</v>
      </c>
      <c r="L1007" s="1">
        <v>28.14</v>
      </c>
      <c r="M1007" s="1">
        <v>21.18</v>
      </c>
      <c r="N1007" s="1">
        <v>12.2</v>
      </c>
      <c r="O1007" s="1">
        <v>37.43</v>
      </c>
      <c r="P1007" s="1">
        <v>23.87</v>
      </c>
      <c r="Q1007" s="1">
        <v>5319.85</v>
      </c>
      <c r="R1007" s="1">
        <v>69</v>
      </c>
      <c r="S1007" s="1">
        <v>65.2</v>
      </c>
    </row>
    <row r="1008" spans="1:19" ht="15">
      <c r="A1008" s="1">
        <v>56</v>
      </c>
      <c r="B1008" s="1" t="s">
        <v>83</v>
      </c>
      <c r="C1008" s="1" t="s">
        <v>78</v>
      </c>
      <c r="D1008" s="1">
        <v>2026</v>
      </c>
      <c r="E1008" s="1" t="s">
        <v>22</v>
      </c>
      <c r="F1008" s="1">
        <v>141794014</v>
      </c>
      <c r="G1008" s="1">
        <v>71482470</v>
      </c>
      <c r="H1008" s="1">
        <v>70311544</v>
      </c>
      <c r="I1008" s="1">
        <v>13731218</v>
      </c>
      <c r="J1008" s="1">
        <v>760528</v>
      </c>
      <c r="K1008" s="1">
        <v>9.68</v>
      </c>
      <c r="L1008" s="1">
        <v>11.41</v>
      </c>
      <c r="M1008" s="1">
        <v>19.05</v>
      </c>
      <c r="N1008" s="1">
        <v>10.25</v>
      </c>
      <c r="O1008" s="1">
        <v>38.92</v>
      </c>
      <c r="P1008" s="1">
        <v>38.83</v>
      </c>
      <c r="Q1008" s="1">
        <v>4950</v>
      </c>
      <c r="R1008" s="1">
        <v>49</v>
      </c>
      <c r="S1008" s="1">
        <v>65.099999999999994</v>
      </c>
    </row>
    <row r="1009" spans="1:19" ht="15">
      <c r="A1009" s="1">
        <v>56</v>
      </c>
      <c r="B1009" s="1" t="s">
        <v>83</v>
      </c>
      <c r="C1009" s="1" t="s">
        <v>78</v>
      </c>
      <c r="D1009" s="1">
        <v>2026</v>
      </c>
      <c r="E1009" s="1" t="s">
        <v>23</v>
      </c>
      <c r="F1009" s="1">
        <v>160253311</v>
      </c>
      <c r="G1009" s="1">
        <v>81192693</v>
      </c>
      <c r="H1009" s="1">
        <v>79060618</v>
      </c>
      <c r="I1009" s="1">
        <v>8613709</v>
      </c>
      <c r="J1009" s="1">
        <v>425674</v>
      </c>
      <c r="K1009" s="1">
        <v>5.38</v>
      </c>
      <c r="L1009" s="1">
        <v>19.78</v>
      </c>
      <c r="M1009" s="1">
        <v>20.91</v>
      </c>
      <c r="N1009" s="1">
        <v>5.36</v>
      </c>
      <c r="O1009" s="1">
        <v>23.7</v>
      </c>
      <c r="P1009" s="1">
        <v>23.58</v>
      </c>
      <c r="Q1009" s="1">
        <v>1508.7</v>
      </c>
      <c r="R1009" s="1">
        <v>83</v>
      </c>
      <c r="S1009" s="1">
        <v>70.2</v>
      </c>
    </row>
    <row r="1010" spans="1:19" ht="15">
      <c r="A1010" s="1">
        <v>57</v>
      </c>
      <c r="B1010" s="1" t="s">
        <v>84</v>
      </c>
      <c r="C1010" s="1" t="s">
        <v>78</v>
      </c>
      <c r="D1010" s="1">
        <v>2021</v>
      </c>
      <c r="E1010" s="1" t="s">
        <v>21</v>
      </c>
      <c r="F1010" s="1">
        <v>172824437</v>
      </c>
      <c r="G1010" s="1">
        <v>83091723</v>
      </c>
      <c r="H1010" s="1">
        <v>89732714</v>
      </c>
      <c r="I1010" s="1">
        <v>15580757</v>
      </c>
      <c r="J1010" s="1">
        <v>677154</v>
      </c>
      <c r="K1010" s="1">
        <v>9.02</v>
      </c>
      <c r="L1010" s="1">
        <v>27.01</v>
      </c>
      <c r="M1010" s="1">
        <v>13.4</v>
      </c>
      <c r="N1010" s="1">
        <v>8.6300000000000008</v>
      </c>
      <c r="O1010" s="1">
        <v>37.340000000000003</v>
      </c>
      <c r="P1010" s="1">
        <v>22.15</v>
      </c>
      <c r="Q1010" s="1">
        <v>4540.08</v>
      </c>
      <c r="R1010" s="1">
        <v>56</v>
      </c>
      <c r="S1010" s="1">
        <v>68.7</v>
      </c>
    </row>
    <row r="1011" spans="1:19" ht="15">
      <c r="A1011" s="1">
        <v>57</v>
      </c>
      <c r="B1011" s="1" t="s">
        <v>84</v>
      </c>
      <c r="C1011" s="1" t="s">
        <v>78</v>
      </c>
      <c r="D1011" s="1">
        <v>2021</v>
      </c>
      <c r="E1011" s="1" t="s">
        <v>22</v>
      </c>
      <c r="F1011" s="1">
        <v>40164184</v>
      </c>
      <c r="G1011" s="1">
        <v>19330684</v>
      </c>
      <c r="H1011" s="1">
        <v>20833500</v>
      </c>
      <c r="I1011" s="1">
        <v>3705096</v>
      </c>
      <c r="J1011" s="1">
        <v>296301</v>
      </c>
      <c r="K1011" s="1">
        <v>9.2200000000000006</v>
      </c>
      <c r="L1011" s="1">
        <v>15.46</v>
      </c>
      <c r="M1011" s="1">
        <v>33.51</v>
      </c>
      <c r="N1011" s="1">
        <v>9.42</v>
      </c>
      <c r="O1011" s="1">
        <v>35.54</v>
      </c>
      <c r="P1011" s="1">
        <v>22.11</v>
      </c>
      <c r="Q1011" s="1">
        <v>6855.92</v>
      </c>
      <c r="R1011" s="1">
        <v>41</v>
      </c>
      <c r="S1011" s="1">
        <v>68.7</v>
      </c>
    </row>
    <row r="1012" spans="1:19" ht="15">
      <c r="A1012" s="1">
        <v>57</v>
      </c>
      <c r="B1012" s="1" t="s">
        <v>84</v>
      </c>
      <c r="C1012" s="1" t="s">
        <v>78</v>
      </c>
      <c r="D1012" s="1">
        <v>2021</v>
      </c>
      <c r="E1012" s="1" t="s">
        <v>23</v>
      </c>
      <c r="F1012" s="1">
        <v>137447642</v>
      </c>
      <c r="G1012" s="1">
        <v>68167002</v>
      </c>
      <c r="H1012" s="1">
        <v>69280640</v>
      </c>
      <c r="I1012" s="1">
        <v>11714783</v>
      </c>
      <c r="J1012" s="1">
        <v>507846</v>
      </c>
      <c r="K1012" s="1">
        <v>8.52</v>
      </c>
      <c r="L1012" s="1">
        <v>22.27</v>
      </c>
      <c r="M1012" s="1">
        <v>29.05</v>
      </c>
      <c r="N1012" s="1">
        <v>8.33</v>
      </c>
      <c r="O1012" s="1">
        <v>34.94</v>
      </c>
      <c r="P1012" s="1">
        <v>15.32</v>
      </c>
      <c r="Q1012" s="1">
        <v>9993</v>
      </c>
      <c r="R1012" s="1">
        <v>44</v>
      </c>
      <c r="S1012" s="1">
        <v>60.6</v>
      </c>
    </row>
    <row r="1013" spans="1:19" ht="15">
      <c r="A1013" s="1">
        <v>57</v>
      </c>
      <c r="B1013" s="1" t="s">
        <v>84</v>
      </c>
      <c r="C1013" s="1" t="s">
        <v>78</v>
      </c>
      <c r="D1013" s="1">
        <v>2022</v>
      </c>
      <c r="E1013" s="1" t="s">
        <v>21</v>
      </c>
      <c r="F1013" s="1">
        <v>83252888</v>
      </c>
      <c r="G1013" s="1">
        <v>41510056</v>
      </c>
      <c r="H1013" s="1">
        <v>41742832</v>
      </c>
      <c r="I1013" s="1">
        <v>5707124</v>
      </c>
      <c r="J1013" s="1">
        <v>428977</v>
      </c>
      <c r="K1013" s="1">
        <v>6.86</v>
      </c>
      <c r="L1013" s="1">
        <v>22.81</v>
      </c>
      <c r="M1013" s="1">
        <v>24.99</v>
      </c>
      <c r="N1013" s="1">
        <v>6.83</v>
      </c>
      <c r="O1013" s="1">
        <v>25.99</v>
      </c>
      <c r="P1013" s="1">
        <v>33.590000000000003</v>
      </c>
      <c r="Q1013" s="1">
        <v>2327.88</v>
      </c>
      <c r="R1013" s="1">
        <v>43</v>
      </c>
      <c r="S1013" s="1">
        <v>75.900000000000006</v>
      </c>
    </row>
    <row r="1014" spans="1:19" ht="15">
      <c r="A1014" s="1">
        <v>57</v>
      </c>
      <c r="B1014" s="1" t="s">
        <v>84</v>
      </c>
      <c r="C1014" s="1" t="s">
        <v>78</v>
      </c>
      <c r="D1014" s="1">
        <v>2022</v>
      </c>
      <c r="E1014" s="1" t="s">
        <v>22</v>
      </c>
      <c r="F1014" s="1">
        <v>142456820</v>
      </c>
      <c r="G1014" s="1">
        <v>69429028</v>
      </c>
      <c r="H1014" s="1">
        <v>73027792</v>
      </c>
      <c r="I1014" s="1">
        <v>13674228</v>
      </c>
      <c r="J1014" s="1">
        <v>534445</v>
      </c>
      <c r="K1014" s="1">
        <v>9.6</v>
      </c>
      <c r="L1014" s="1">
        <v>13.43</v>
      </c>
      <c r="M1014" s="1">
        <v>32.31</v>
      </c>
      <c r="N1014" s="1">
        <v>12.56</v>
      </c>
      <c r="O1014" s="1">
        <v>36.25</v>
      </c>
      <c r="P1014" s="1">
        <v>18.2</v>
      </c>
      <c r="Q1014" s="1">
        <v>2269.36</v>
      </c>
      <c r="R1014" s="1">
        <v>59</v>
      </c>
      <c r="S1014" s="1">
        <v>65.400000000000006</v>
      </c>
    </row>
    <row r="1015" spans="1:19" ht="15">
      <c r="A1015" s="1">
        <v>57</v>
      </c>
      <c r="B1015" s="1" t="s">
        <v>84</v>
      </c>
      <c r="C1015" s="1" t="s">
        <v>78</v>
      </c>
      <c r="D1015" s="1">
        <v>2022</v>
      </c>
      <c r="E1015" s="1" t="s">
        <v>23</v>
      </c>
      <c r="F1015" s="1">
        <v>2725824</v>
      </c>
      <c r="G1015" s="1">
        <v>1369899</v>
      </c>
      <c r="H1015" s="1">
        <v>1355925</v>
      </c>
      <c r="I1015" s="1">
        <v>207813</v>
      </c>
      <c r="J1015" s="1">
        <v>9117</v>
      </c>
      <c r="K1015" s="1">
        <v>7.62</v>
      </c>
      <c r="L1015" s="1">
        <v>16.03</v>
      </c>
      <c r="M1015" s="1">
        <v>15.14</v>
      </c>
      <c r="N1015" s="1">
        <v>14.55</v>
      </c>
      <c r="O1015" s="1">
        <v>26.39</v>
      </c>
      <c r="P1015" s="1">
        <v>26.38</v>
      </c>
      <c r="Q1015" s="1">
        <v>601.38</v>
      </c>
      <c r="R1015" s="1">
        <v>70</v>
      </c>
      <c r="S1015" s="1">
        <v>73.5</v>
      </c>
    </row>
    <row r="1016" spans="1:19" ht="15">
      <c r="A1016" s="1">
        <v>57</v>
      </c>
      <c r="B1016" s="1" t="s">
        <v>84</v>
      </c>
      <c r="C1016" s="1" t="s">
        <v>78</v>
      </c>
      <c r="D1016" s="1">
        <v>2023</v>
      </c>
      <c r="E1016" s="1" t="s">
        <v>21</v>
      </c>
      <c r="F1016" s="1">
        <v>58885358</v>
      </c>
      <c r="G1016" s="1">
        <v>30230376</v>
      </c>
      <c r="H1016" s="1">
        <v>28654982</v>
      </c>
      <c r="I1016" s="1">
        <v>4526596</v>
      </c>
      <c r="J1016" s="1">
        <v>175045</v>
      </c>
      <c r="K1016" s="1">
        <v>7.69</v>
      </c>
      <c r="L1016" s="1">
        <v>11.65</v>
      </c>
      <c r="M1016" s="1">
        <v>26.33</v>
      </c>
      <c r="N1016" s="1">
        <v>11.33</v>
      </c>
      <c r="O1016" s="1">
        <v>20.61</v>
      </c>
      <c r="P1016" s="1">
        <v>23.06</v>
      </c>
      <c r="Q1016" s="1">
        <v>5093.17</v>
      </c>
      <c r="R1016" s="1">
        <v>42</v>
      </c>
      <c r="S1016" s="1">
        <v>67.7</v>
      </c>
    </row>
    <row r="1017" spans="1:19" ht="15">
      <c r="A1017" s="1">
        <v>57</v>
      </c>
      <c r="B1017" s="1" t="s">
        <v>84</v>
      </c>
      <c r="C1017" s="1" t="s">
        <v>78</v>
      </c>
      <c r="D1017" s="1">
        <v>2023</v>
      </c>
      <c r="E1017" s="1" t="s">
        <v>22</v>
      </c>
      <c r="F1017" s="1">
        <v>19343556</v>
      </c>
      <c r="G1017" s="1">
        <v>9292523</v>
      </c>
      <c r="H1017" s="1">
        <v>10051033</v>
      </c>
      <c r="I1017" s="1">
        <v>1604698</v>
      </c>
      <c r="J1017" s="1">
        <v>114640</v>
      </c>
      <c r="K1017" s="1">
        <v>8.3000000000000007</v>
      </c>
      <c r="L1017" s="1">
        <v>10.9</v>
      </c>
      <c r="M1017" s="1">
        <v>28.06</v>
      </c>
      <c r="N1017" s="1">
        <v>9.92</v>
      </c>
      <c r="O1017" s="1">
        <v>34.450000000000003</v>
      </c>
      <c r="P1017" s="1">
        <v>37.44</v>
      </c>
      <c r="Q1017" s="1">
        <v>10015.39</v>
      </c>
      <c r="R1017" s="1">
        <v>54</v>
      </c>
      <c r="S1017" s="1">
        <v>77.3</v>
      </c>
    </row>
    <row r="1018" spans="1:19" ht="15">
      <c r="A1018" s="1">
        <v>57</v>
      </c>
      <c r="B1018" s="1" t="s">
        <v>84</v>
      </c>
      <c r="C1018" s="1" t="s">
        <v>78</v>
      </c>
      <c r="D1018" s="1">
        <v>2023</v>
      </c>
      <c r="E1018" s="1" t="s">
        <v>23</v>
      </c>
      <c r="F1018" s="1">
        <v>77090089</v>
      </c>
      <c r="G1018" s="1">
        <v>38131915</v>
      </c>
      <c r="H1018" s="1">
        <v>38958174</v>
      </c>
      <c r="I1018" s="1">
        <v>6604920</v>
      </c>
      <c r="J1018" s="1">
        <v>448029</v>
      </c>
      <c r="K1018" s="1">
        <v>8.57</v>
      </c>
      <c r="L1018" s="1">
        <v>14.92</v>
      </c>
      <c r="M1018" s="1">
        <v>20</v>
      </c>
      <c r="N1018" s="1">
        <v>12.47</v>
      </c>
      <c r="O1018" s="1">
        <v>31</v>
      </c>
      <c r="P1018" s="1">
        <v>32.08</v>
      </c>
      <c r="Q1018" s="1">
        <v>1052.8499999999999</v>
      </c>
      <c r="R1018" s="1">
        <v>59</v>
      </c>
      <c r="S1018" s="1">
        <v>62</v>
      </c>
    </row>
    <row r="1019" spans="1:19" ht="15">
      <c r="A1019" s="1">
        <v>57</v>
      </c>
      <c r="B1019" s="1" t="s">
        <v>84</v>
      </c>
      <c r="C1019" s="1" t="s">
        <v>78</v>
      </c>
      <c r="D1019" s="1">
        <v>2024</v>
      </c>
      <c r="E1019" s="1" t="s">
        <v>21</v>
      </c>
      <c r="F1019" s="1">
        <v>61470190</v>
      </c>
      <c r="G1019" s="1">
        <v>30366962</v>
      </c>
      <c r="H1019" s="1">
        <v>31103228</v>
      </c>
      <c r="I1019" s="1">
        <v>3302439</v>
      </c>
      <c r="J1019" s="1">
        <v>110965</v>
      </c>
      <c r="K1019" s="1">
        <v>5.37</v>
      </c>
      <c r="L1019" s="1">
        <v>21.09</v>
      </c>
      <c r="M1019" s="1">
        <v>14.09</v>
      </c>
      <c r="N1019" s="1">
        <v>7.09</v>
      </c>
      <c r="O1019" s="1">
        <v>30.69</v>
      </c>
      <c r="P1019" s="1">
        <v>17.52</v>
      </c>
      <c r="Q1019" s="1">
        <v>2515.04</v>
      </c>
      <c r="R1019" s="1">
        <v>79</v>
      </c>
      <c r="S1019" s="1">
        <v>76</v>
      </c>
    </row>
    <row r="1020" spans="1:19" ht="15">
      <c r="A1020" s="1">
        <v>57</v>
      </c>
      <c r="B1020" s="1" t="s">
        <v>84</v>
      </c>
      <c r="C1020" s="1" t="s">
        <v>78</v>
      </c>
      <c r="D1020" s="1">
        <v>2024</v>
      </c>
      <c r="E1020" s="1" t="s">
        <v>22</v>
      </c>
      <c r="F1020" s="1">
        <v>7250955</v>
      </c>
      <c r="G1020" s="1">
        <v>3652079</v>
      </c>
      <c r="H1020" s="1">
        <v>3598876</v>
      </c>
      <c r="I1020" s="1">
        <v>669461</v>
      </c>
      <c r="J1020" s="1">
        <v>20762</v>
      </c>
      <c r="K1020" s="1">
        <v>9.23</v>
      </c>
      <c r="L1020" s="1">
        <v>16.68</v>
      </c>
      <c r="M1020" s="1">
        <v>16.170000000000002</v>
      </c>
      <c r="N1020" s="1">
        <v>8.98</v>
      </c>
      <c r="O1020" s="1">
        <v>21.08</v>
      </c>
      <c r="P1020" s="1">
        <v>18.02</v>
      </c>
      <c r="Q1020" s="1">
        <v>9089.6</v>
      </c>
      <c r="R1020" s="1">
        <v>40</v>
      </c>
      <c r="S1020" s="1">
        <v>66.2</v>
      </c>
    </row>
    <row r="1021" spans="1:19" ht="15">
      <c r="A1021" s="1">
        <v>57</v>
      </c>
      <c r="B1021" s="1" t="s">
        <v>84</v>
      </c>
      <c r="C1021" s="1" t="s">
        <v>78</v>
      </c>
      <c r="D1021" s="1">
        <v>2024</v>
      </c>
      <c r="E1021" s="1" t="s">
        <v>23</v>
      </c>
      <c r="F1021" s="1">
        <v>126034943</v>
      </c>
      <c r="G1021" s="1">
        <v>64332910</v>
      </c>
      <c r="H1021" s="1">
        <v>61702033</v>
      </c>
      <c r="I1021" s="1">
        <v>8392119</v>
      </c>
      <c r="J1021" s="1">
        <v>375782</v>
      </c>
      <c r="K1021" s="1">
        <v>6.66</v>
      </c>
      <c r="L1021" s="1">
        <v>26.18</v>
      </c>
      <c r="M1021" s="1">
        <v>12.04</v>
      </c>
      <c r="N1021" s="1">
        <v>9.3800000000000008</v>
      </c>
      <c r="O1021" s="1">
        <v>32.83</v>
      </c>
      <c r="P1021" s="1">
        <v>35.81</v>
      </c>
      <c r="Q1021" s="1">
        <v>10784.38</v>
      </c>
      <c r="R1021" s="1">
        <v>82</v>
      </c>
      <c r="S1021" s="1">
        <v>69.599999999999994</v>
      </c>
    </row>
    <row r="1022" spans="1:19" ht="15">
      <c r="A1022" s="1">
        <v>57</v>
      </c>
      <c r="B1022" s="1" t="s">
        <v>84</v>
      </c>
      <c r="C1022" s="1" t="s">
        <v>78</v>
      </c>
      <c r="D1022" s="1">
        <v>2025</v>
      </c>
      <c r="E1022" s="1" t="s">
        <v>21</v>
      </c>
      <c r="F1022" s="1">
        <v>192755895</v>
      </c>
      <c r="G1022" s="1">
        <v>98682562</v>
      </c>
      <c r="H1022" s="1">
        <v>94073333</v>
      </c>
      <c r="I1022" s="1">
        <v>18607512</v>
      </c>
      <c r="J1022" s="1">
        <v>1168067</v>
      </c>
      <c r="K1022" s="1">
        <v>9.65</v>
      </c>
      <c r="L1022" s="1">
        <v>21.22</v>
      </c>
      <c r="M1022" s="1">
        <v>10.73</v>
      </c>
      <c r="N1022" s="1">
        <v>9.4700000000000006</v>
      </c>
      <c r="O1022" s="1">
        <v>34.54</v>
      </c>
      <c r="P1022" s="1">
        <v>33.89</v>
      </c>
      <c r="Q1022" s="1">
        <v>9223.59</v>
      </c>
      <c r="R1022" s="1">
        <v>80</v>
      </c>
      <c r="S1022" s="1">
        <v>78.900000000000006</v>
      </c>
    </row>
    <row r="1023" spans="1:19" ht="15">
      <c r="A1023" s="1">
        <v>57</v>
      </c>
      <c r="B1023" s="1" t="s">
        <v>84</v>
      </c>
      <c r="C1023" s="1" t="s">
        <v>78</v>
      </c>
      <c r="D1023" s="1">
        <v>2025</v>
      </c>
      <c r="E1023" s="1" t="s">
        <v>22</v>
      </c>
      <c r="F1023" s="1">
        <v>11428519</v>
      </c>
      <c r="G1023" s="1">
        <v>5895741</v>
      </c>
      <c r="H1023" s="1">
        <v>5532778</v>
      </c>
      <c r="I1023" s="1">
        <v>977862</v>
      </c>
      <c r="J1023" s="1">
        <v>67833</v>
      </c>
      <c r="K1023" s="1">
        <v>8.56</v>
      </c>
      <c r="L1023" s="1">
        <v>24.26</v>
      </c>
      <c r="M1023" s="1">
        <v>20.94</v>
      </c>
      <c r="N1023" s="1">
        <v>12.55</v>
      </c>
      <c r="O1023" s="1">
        <v>30.27</v>
      </c>
      <c r="P1023" s="1">
        <v>33.049999999999997</v>
      </c>
      <c r="Q1023" s="1">
        <v>10792.88</v>
      </c>
      <c r="R1023" s="1">
        <v>64</v>
      </c>
      <c r="S1023" s="1">
        <v>73</v>
      </c>
    </row>
    <row r="1024" spans="1:19" ht="15">
      <c r="A1024" s="1">
        <v>57</v>
      </c>
      <c r="B1024" s="1" t="s">
        <v>84</v>
      </c>
      <c r="C1024" s="1" t="s">
        <v>78</v>
      </c>
      <c r="D1024" s="1">
        <v>2025</v>
      </c>
      <c r="E1024" s="1" t="s">
        <v>23</v>
      </c>
      <c r="F1024" s="1">
        <v>2196729</v>
      </c>
      <c r="G1024" s="1">
        <v>1102830</v>
      </c>
      <c r="H1024" s="1">
        <v>1093899</v>
      </c>
      <c r="I1024" s="1">
        <v>130374</v>
      </c>
      <c r="J1024" s="1">
        <v>7600</v>
      </c>
      <c r="K1024" s="1">
        <v>5.93</v>
      </c>
      <c r="L1024" s="1">
        <v>19.23</v>
      </c>
      <c r="M1024" s="1">
        <v>16.84</v>
      </c>
      <c r="N1024" s="1">
        <v>5.49</v>
      </c>
      <c r="O1024" s="1">
        <v>23.52</v>
      </c>
      <c r="P1024" s="1">
        <v>15.34</v>
      </c>
      <c r="Q1024" s="1">
        <v>6138.81</v>
      </c>
      <c r="R1024" s="1">
        <v>58</v>
      </c>
      <c r="S1024" s="1">
        <v>75.5</v>
      </c>
    </row>
    <row r="1025" spans="1:19" ht="15">
      <c r="A1025" s="1">
        <v>57</v>
      </c>
      <c r="B1025" s="1" t="s">
        <v>84</v>
      </c>
      <c r="C1025" s="1" t="s">
        <v>78</v>
      </c>
      <c r="D1025" s="1">
        <v>2026</v>
      </c>
      <c r="E1025" s="1" t="s">
        <v>21</v>
      </c>
      <c r="F1025" s="1">
        <v>85597048</v>
      </c>
      <c r="G1025" s="1">
        <v>42211045</v>
      </c>
      <c r="H1025" s="1">
        <v>43386003</v>
      </c>
      <c r="I1025" s="1">
        <v>5858393</v>
      </c>
      <c r="J1025" s="1">
        <v>413484</v>
      </c>
      <c r="K1025" s="1">
        <v>6.84</v>
      </c>
      <c r="L1025" s="1">
        <v>21.27</v>
      </c>
      <c r="M1025" s="1">
        <v>25.02</v>
      </c>
      <c r="N1025" s="1">
        <v>6.49</v>
      </c>
      <c r="O1025" s="1">
        <v>22.68</v>
      </c>
      <c r="P1025" s="1">
        <v>30.58</v>
      </c>
      <c r="Q1025" s="1">
        <v>1303.8499999999999</v>
      </c>
      <c r="R1025" s="1">
        <v>41</v>
      </c>
      <c r="S1025" s="1">
        <v>65.2</v>
      </c>
    </row>
    <row r="1026" spans="1:19" ht="15">
      <c r="A1026" s="1">
        <v>57</v>
      </c>
      <c r="B1026" s="1" t="s">
        <v>84</v>
      </c>
      <c r="C1026" s="1" t="s">
        <v>78</v>
      </c>
      <c r="D1026" s="1">
        <v>2026</v>
      </c>
      <c r="E1026" s="1" t="s">
        <v>22</v>
      </c>
      <c r="F1026" s="1">
        <v>187736916</v>
      </c>
      <c r="G1026" s="1">
        <v>91250479</v>
      </c>
      <c r="H1026" s="1">
        <v>96486437</v>
      </c>
      <c r="I1026" s="1">
        <v>9837569</v>
      </c>
      <c r="J1026" s="1">
        <v>765014</v>
      </c>
      <c r="K1026" s="1">
        <v>5.24</v>
      </c>
      <c r="L1026" s="1">
        <v>21.69</v>
      </c>
      <c r="M1026" s="1">
        <v>31.69</v>
      </c>
      <c r="N1026" s="1">
        <v>5.16</v>
      </c>
      <c r="O1026" s="1">
        <v>35.39</v>
      </c>
      <c r="P1026" s="1">
        <v>30.28</v>
      </c>
      <c r="Q1026" s="1">
        <v>6981.59</v>
      </c>
      <c r="R1026" s="1">
        <v>50</v>
      </c>
      <c r="S1026" s="1">
        <v>81.8</v>
      </c>
    </row>
    <row r="1027" spans="1:19" ht="15">
      <c r="A1027" s="1">
        <v>57</v>
      </c>
      <c r="B1027" s="1" t="s">
        <v>84</v>
      </c>
      <c r="C1027" s="1" t="s">
        <v>78</v>
      </c>
      <c r="D1027" s="1">
        <v>2026</v>
      </c>
      <c r="E1027" s="1" t="s">
        <v>23</v>
      </c>
      <c r="F1027" s="1">
        <v>13905639</v>
      </c>
      <c r="G1027" s="1">
        <v>6715788</v>
      </c>
      <c r="H1027" s="1">
        <v>7189851</v>
      </c>
      <c r="I1027" s="1">
        <v>765011</v>
      </c>
      <c r="J1027" s="1">
        <v>46808</v>
      </c>
      <c r="K1027" s="1">
        <v>5.5</v>
      </c>
      <c r="L1027" s="1">
        <v>27.41</v>
      </c>
      <c r="M1027" s="1">
        <v>21.18</v>
      </c>
      <c r="N1027" s="1">
        <v>6.94</v>
      </c>
      <c r="O1027" s="1">
        <v>23.14</v>
      </c>
      <c r="P1027" s="1">
        <v>34.17</v>
      </c>
      <c r="Q1027" s="1">
        <v>1961.64</v>
      </c>
      <c r="R1027" s="1">
        <v>83</v>
      </c>
      <c r="S1027" s="1">
        <v>70.8</v>
      </c>
    </row>
    <row r="1028" spans="1:19" ht="15">
      <c r="A1028" s="1">
        <v>58</v>
      </c>
      <c r="B1028" s="1" t="s">
        <v>85</v>
      </c>
      <c r="C1028" s="1" t="s">
        <v>78</v>
      </c>
      <c r="D1028" s="1">
        <v>2021</v>
      </c>
      <c r="E1028" s="1" t="s">
        <v>21</v>
      </c>
      <c r="F1028" s="1">
        <v>88194167</v>
      </c>
      <c r="G1028" s="1">
        <v>42740379</v>
      </c>
      <c r="H1028" s="1">
        <v>45453788</v>
      </c>
      <c r="I1028" s="1">
        <v>5360412</v>
      </c>
      <c r="J1028" s="1">
        <v>300548</v>
      </c>
      <c r="K1028" s="1">
        <v>6.08</v>
      </c>
      <c r="L1028" s="1">
        <v>17.420000000000002</v>
      </c>
      <c r="M1028" s="1">
        <v>17.489999999999998</v>
      </c>
      <c r="N1028" s="1">
        <v>9.81</v>
      </c>
      <c r="O1028" s="1">
        <v>37.44</v>
      </c>
      <c r="P1028" s="1">
        <v>20.37</v>
      </c>
      <c r="Q1028" s="1">
        <v>7774.96</v>
      </c>
      <c r="R1028" s="1">
        <v>53</v>
      </c>
      <c r="S1028" s="1">
        <v>60.7</v>
      </c>
    </row>
    <row r="1029" spans="1:19" ht="15">
      <c r="A1029" s="1">
        <v>58</v>
      </c>
      <c r="B1029" s="1" t="s">
        <v>85</v>
      </c>
      <c r="C1029" s="1" t="s">
        <v>78</v>
      </c>
      <c r="D1029" s="1">
        <v>2021</v>
      </c>
      <c r="E1029" s="1" t="s">
        <v>22</v>
      </c>
      <c r="F1029" s="1">
        <v>61299023</v>
      </c>
      <c r="G1029" s="1">
        <v>30589044</v>
      </c>
      <c r="H1029" s="1">
        <v>30709979</v>
      </c>
      <c r="I1029" s="1">
        <v>5271850</v>
      </c>
      <c r="J1029" s="1">
        <v>415957</v>
      </c>
      <c r="K1029" s="1">
        <v>8.6</v>
      </c>
      <c r="L1029" s="1">
        <v>29.59</v>
      </c>
      <c r="M1029" s="1">
        <v>23.07</v>
      </c>
      <c r="N1029" s="1">
        <v>10</v>
      </c>
      <c r="O1029" s="1">
        <v>38.93</v>
      </c>
      <c r="P1029" s="1">
        <v>16.239999999999998</v>
      </c>
      <c r="Q1029" s="1">
        <v>3777.01</v>
      </c>
      <c r="R1029" s="1">
        <v>69</v>
      </c>
      <c r="S1029" s="1">
        <v>61.6</v>
      </c>
    </row>
    <row r="1030" spans="1:19" ht="15">
      <c r="A1030" s="1">
        <v>58</v>
      </c>
      <c r="B1030" s="1" t="s">
        <v>85</v>
      </c>
      <c r="C1030" s="1" t="s">
        <v>78</v>
      </c>
      <c r="D1030" s="1">
        <v>2021</v>
      </c>
      <c r="E1030" s="1" t="s">
        <v>23</v>
      </c>
      <c r="F1030" s="1">
        <v>51636693</v>
      </c>
      <c r="G1030" s="1">
        <v>25495401</v>
      </c>
      <c r="H1030" s="1">
        <v>26141292</v>
      </c>
      <c r="I1030" s="1">
        <v>3178391</v>
      </c>
      <c r="J1030" s="1">
        <v>173372</v>
      </c>
      <c r="K1030" s="1">
        <v>6.16</v>
      </c>
      <c r="L1030" s="1">
        <v>22.78</v>
      </c>
      <c r="M1030" s="1">
        <v>30.86</v>
      </c>
      <c r="N1030" s="1">
        <v>14.58</v>
      </c>
      <c r="O1030" s="1">
        <v>35.619999999999997</v>
      </c>
      <c r="P1030" s="1">
        <v>34.22</v>
      </c>
      <c r="Q1030" s="1">
        <v>4548.33</v>
      </c>
      <c r="R1030" s="1">
        <v>61</v>
      </c>
      <c r="S1030" s="1">
        <v>65.599999999999994</v>
      </c>
    </row>
    <row r="1031" spans="1:19" ht="15">
      <c r="A1031" s="1">
        <v>58</v>
      </c>
      <c r="B1031" s="1" t="s">
        <v>85</v>
      </c>
      <c r="C1031" s="1" t="s">
        <v>78</v>
      </c>
      <c r="D1031" s="1">
        <v>2022</v>
      </c>
      <c r="E1031" s="1" t="s">
        <v>21</v>
      </c>
      <c r="F1031" s="1">
        <v>141198406</v>
      </c>
      <c r="G1031" s="1">
        <v>73325147</v>
      </c>
      <c r="H1031" s="1">
        <v>67873259</v>
      </c>
      <c r="I1031" s="1">
        <v>12264391</v>
      </c>
      <c r="J1031" s="1">
        <v>653327</v>
      </c>
      <c r="K1031" s="1">
        <v>8.69</v>
      </c>
      <c r="L1031" s="1">
        <v>10.81</v>
      </c>
      <c r="M1031" s="1">
        <v>19.53</v>
      </c>
      <c r="N1031" s="1">
        <v>12.71</v>
      </c>
      <c r="O1031" s="1">
        <v>37.81</v>
      </c>
      <c r="P1031" s="1">
        <v>18.260000000000002</v>
      </c>
      <c r="Q1031" s="1">
        <v>3460.04</v>
      </c>
      <c r="R1031" s="1">
        <v>74</v>
      </c>
      <c r="S1031" s="1">
        <v>78.2</v>
      </c>
    </row>
    <row r="1032" spans="1:19" ht="15">
      <c r="A1032" s="1">
        <v>58</v>
      </c>
      <c r="B1032" s="1" t="s">
        <v>85</v>
      </c>
      <c r="C1032" s="1" t="s">
        <v>78</v>
      </c>
      <c r="D1032" s="1">
        <v>2022</v>
      </c>
      <c r="E1032" s="1" t="s">
        <v>22</v>
      </c>
      <c r="F1032" s="1">
        <v>45206573</v>
      </c>
      <c r="G1032" s="1">
        <v>22532138</v>
      </c>
      <c r="H1032" s="1">
        <v>22674435</v>
      </c>
      <c r="I1032" s="1">
        <v>4173907</v>
      </c>
      <c r="J1032" s="1">
        <v>280804</v>
      </c>
      <c r="K1032" s="1">
        <v>9.23</v>
      </c>
      <c r="L1032" s="1">
        <v>21.53</v>
      </c>
      <c r="M1032" s="1">
        <v>24.53</v>
      </c>
      <c r="N1032" s="1">
        <v>9.0399999999999991</v>
      </c>
      <c r="O1032" s="1">
        <v>37.07</v>
      </c>
      <c r="P1032" s="1">
        <v>29.9</v>
      </c>
      <c r="Q1032" s="1">
        <v>7422.39</v>
      </c>
      <c r="R1032" s="1">
        <v>49</v>
      </c>
      <c r="S1032" s="1">
        <v>74.400000000000006</v>
      </c>
    </row>
    <row r="1033" spans="1:19" ht="15">
      <c r="A1033" s="1">
        <v>58</v>
      </c>
      <c r="B1033" s="1" t="s">
        <v>85</v>
      </c>
      <c r="C1033" s="1" t="s">
        <v>78</v>
      </c>
      <c r="D1033" s="1">
        <v>2022</v>
      </c>
      <c r="E1033" s="1" t="s">
        <v>23</v>
      </c>
      <c r="F1033" s="1">
        <v>30424619</v>
      </c>
      <c r="G1033" s="1">
        <v>15776119</v>
      </c>
      <c r="H1033" s="1">
        <v>14648500</v>
      </c>
      <c r="I1033" s="1">
        <v>1604912</v>
      </c>
      <c r="J1033" s="1">
        <v>90006</v>
      </c>
      <c r="K1033" s="1">
        <v>5.28</v>
      </c>
      <c r="L1033" s="1">
        <v>15.1</v>
      </c>
      <c r="M1033" s="1">
        <v>28.14</v>
      </c>
      <c r="N1033" s="1">
        <v>10.039999999999999</v>
      </c>
      <c r="O1033" s="1">
        <v>26.24</v>
      </c>
      <c r="P1033" s="1">
        <v>32.33</v>
      </c>
      <c r="Q1033" s="1">
        <v>7573.36</v>
      </c>
      <c r="R1033" s="1">
        <v>52</v>
      </c>
      <c r="S1033" s="1">
        <v>78.599999999999994</v>
      </c>
    </row>
    <row r="1034" spans="1:19" ht="15">
      <c r="A1034" s="1">
        <v>58</v>
      </c>
      <c r="B1034" s="1" t="s">
        <v>85</v>
      </c>
      <c r="C1034" s="1" t="s">
        <v>78</v>
      </c>
      <c r="D1034" s="1">
        <v>2023</v>
      </c>
      <c r="E1034" s="1" t="s">
        <v>21</v>
      </c>
      <c r="F1034" s="1">
        <v>32473840</v>
      </c>
      <c r="G1034" s="1">
        <v>16052656</v>
      </c>
      <c r="H1034" s="1">
        <v>16421184</v>
      </c>
      <c r="I1034" s="1">
        <v>2602622</v>
      </c>
      <c r="J1034" s="1">
        <v>158504</v>
      </c>
      <c r="K1034" s="1">
        <v>8.01</v>
      </c>
      <c r="L1034" s="1">
        <v>15.85</v>
      </c>
      <c r="M1034" s="1">
        <v>26.64</v>
      </c>
      <c r="N1034" s="1">
        <v>6.78</v>
      </c>
      <c r="O1034" s="1">
        <v>21.71</v>
      </c>
      <c r="P1034" s="1">
        <v>32.380000000000003</v>
      </c>
      <c r="Q1034" s="1">
        <v>6532.74</v>
      </c>
      <c r="R1034" s="1">
        <v>67</v>
      </c>
      <c r="S1034" s="1">
        <v>78.900000000000006</v>
      </c>
    </row>
    <row r="1035" spans="1:19" ht="15">
      <c r="A1035" s="1">
        <v>58</v>
      </c>
      <c r="B1035" s="1" t="s">
        <v>85</v>
      </c>
      <c r="C1035" s="1" t="s">
        <v>78</v>
      </c>
      <c r="D1035" s="1">
        <v>2023</v>
      </c>
      <c r="E1035" s="1" t="s">
        <v>22</v>
      </c>
      <c r="F1035" s="1">
        <v>150264246</v>
      </c>
      <c r="G1035" s="1">
        <v>75730615</v>
      </c>
      <c r="H1035" s="1">
        <v>74533631</v>
      </c>
      <c r="I1035" s="1">
        <v>13048667</v>
      </c>
      <c r="J1035" s="1">
        <v>671712</v>
      </c>
      <c r="K1035" s="1">
        <v>8.68</v>
      </c>
      <c r="L1035" s="1">
        <v>28.47</v>
      </c>
      <c r="M1035" s="1">
        <v>19.059999999999999</v>
      </c>
      <c r="N1035" s="1">
        <v>13.27</v>
      </c>
      <c r="O1035" s="1">
        <v>39.64</v>
      </c>
      <c r="P1035" s="1">
        <v>29.96</v>
      </c>
      <c r="Q1035" s="1">
        <v>5751.26</v>
      </c>
      <c r="R1035" s="1">
        <v>51</v>
      </c>
      <c r="S1035" s="1">
        <v>65.900000000000006</v>
      </c>
    </row>
    <row r="1036" spans="1:19" ht="15">
      <c r="A1036" s="1">
        <v>58</v>
      </c>
      <c r="B1036" s="1" t="s">
        <v>85</v>
      </c>
      <c r="C1036" s="1" t="s">
        <v>78</v>
      </c>
      <c r="D1036" s="1">
        <v>2023</v>
      </c>
      <c r="E1036" s="1" t="s">
        <v>23</v>
      </c>
      <c r="F1036" s="1">
        <v>157409275</v>
      </c>
      <c r="G1036" s="1">
        <v>78953244</v>
      </c>
      <c r="H1036" s="1">
        <v>78456031</v>
      </c>
      <c r="I1036" s="1">
        <v>11741549</v>
      </c>
      <c r="J1036" s="1">
        <v>913581</v>
      </c>
      <c r="K1036" s="1">
        <v>7.46</v>
      </c>
      <c r="L1036" s="1">
        <v>11.93</v>
      </c>
      <c r="M1036" s="1">
        <v>23.03</v>
      </c>
      <c r="N1036" s="1">
        <v>9.15</v>
      </c>
      <c r="O1036" s="1">
        <v>23.34</v>
      </c>
      <c r="P1036" s="1">
        <v>33.82</v>
      </c>
      <c r="Q1036" s="1">
        <v>2408.58</v>
      </c>
      <c r="R1036" s="1">
        <v>61</v>
      </c>
      <c r="S1036" s="1">
        <v>60.2</v>
      </c>
    </row>
    <row r="1037" spans="1:19" ht="15">
      <c r="A1037" s="1">
        <v>58</v>
      </c>
      <c r="B1037" s="1" t="s">
        <v>85</v>
      </c>
      <c r="C1037" s="1" t="s">
        <v>78</v>
      </c>
      <c r="D1037" s="1">
        <v>2024</v>
      </c>
      <c r="E1037" s="1" t="s">
        <v>21</v>
      </c>
      <c r="F1037" s="1">
        <v>126307672</v>
      </c>
      <c r="G1037" s="1">
        <v>64571836</v>
      </c>
      <c r="H1037" s="1">
        <v>61735836</v>
      </c>
      <c r="I1037" s="1">
        <v>6932970</v>
      </c>
      <c r="J1037" s="1">
        <v>552170</v>
      </c>
      <c r="K1037" s="1">
        <v>5.49</v>
      </c>
      <c r="L1037" s="1">
        <v>19.850000000000001</v>
      </c>
      <c r="M1037" s="1">
        <v>34.049999999999997</v>
      </c>
      <c r="N1037" s="1">
        <v>9.3800000000000008</v>
      </c>
      <c r="O1037" s="1">
        <v>31.3</v>
      </c>
      <c r="P1037" s="1">
        <v>16.3</v>
      </c>
      <c r="Q1037" s="1">
        <v>7001.46</v>
      </c>
      <c r="R1037" s="1">
        <v>56</v>
      </c>
      <c r="S1037" s="1">
        <v>68.599999999999994</v>
      </c>
    </row>
    <row r="1038" spans="1:19" ht="15">
      <c r="A1038" s="1">
        <v>58</v>
      </c>
      <c r="B1038" s="1" t="s">
        <v>85</v>
      </c>
      <c r="C1038" s="1" t="s">
        <v>78</v>
      </c>
      <c r="D1038" s="1">
        <v>2024</v>
      </c>
      <c r="E1038" s="1" t="s">
        <v>22</v>
      </c>
      <c r="F1038" s="1">
        <v>118883304</v>
      </c>
      <c r="G1038" s="1">
        <v>59303325</v>
      </c>
      <c r="H1038" s="1">
        <v>59579979</v>
      </c>
      <c r="I1038" s="1">
        <v>6608060</v>
      </c>
      <c r="J1038" s="1">
        <v>275421</v>
      </c>
      <c r="K1038" s="1">
        <v>5.56</v>
      </c>
      <c r="L1038" s="1">
        <v>18.86</v>
      </c>
      <c r="M1038" s="1">
        <v>16.96</v>
      </c>
      <c r="N1038" s="1">
        <v>12.21</v>
      </c>
      <c r="O1038" s="1">
        <v>26.99</v>
      </c>
      <c r="P1038" s="1">
        <v>21.41</v>
      </c>
      <c r="Q1038" s="1">
        <v>4080.78</v>
      </c>
      <c r="R1038" s="1">
        <v>64</v>
      </c>
      <c r="S1038" s="1">
        <v>82.6</v>
      </c>
    </row>
    <row r="1039" spans="1:19" ht="15">
      <c r="A1039" s="1">
        <v>58</v>
      </c>
      <c r="B1039" s="1" t="s">
        <v>85</v>
      </c>
      <c r="C1039" s="1" t="s">
        <v>78</v>
      </c>
      <c r="D1039" s="1">
        <v>2024</v>
      </c>
      <c r="E1039" s="1" t="s">
        <v>23</v>
      </c>
      <c r="F1039" s="1">
        <v>16235559</v>
      </c>
      <c r="G1039" s="1">
        <v>8047450</v>
      </c>
      <c r="H1039" s="1">
        <v>8188109</v>
      </c>
      <c r="I1039" s="1">
        <v>1502644</v>
      </c>
      <c r="J1039" s="1">
        <v>46724</v>
      </c>
      <c r="K1039" s="1">
        <v>9.26</v>
      </c>
      <c r="L1039" s="1">
        <v>14.33</v>
      </c>
      <c r="M1039" s="1">
        <v>32.26</v>
      </c>
      <c r="N1039" s="1">
        <v>9.76</v>
      </c>
      <c r="O1039" s="1">
        <v>34.32</v>
      </c>
      <c r="P1039" s="1">
        <v>37.96</v>
      </c>
      <c r="Q1039" s="1">
        <v>10265.52</v>
      </c>
      <c r="R1039" s="1">
        <v>45</v>
      </c>
      <c r="S1039" s="1">
        <v>77.599999999999994</v>
      </c>
    </row>
    <row r="1040" spans="1:19" ht="15">
      <c r="A1040" s="1">
        <v>58</v>
      </c>
      <c r="B1040" s="1" t="s">
        <v>85</v>
      </c>
      <c r="C1040" s="1" t="s">
        <v>78</v>
      </c>
      <c r="D1040" s="1">
        <v>2025</v>
      </c>
      <c r="E1040" s="1" t="s">
        <v>21</v>
      </c>
      <c r="F1040" s="1">
        <v>96080409</v>
      </c>
      <c r="G1040" s="1">
        <v>49734773</v>
      </c>
      <c r="H1040" s="1">
        <v>46345636</v>
      </c>
      <c r="I1040" s="1">
        <v>8490213</v>
      </c>
      <c r="J1040" s="1">
        <v>333447</v>
      </c>
      <c r="K1040" s="1">
        <v>8.84</v>
      </c>
      <c r="L1040" s="1">
        <v>24.79</v>
      </c>
      <c r="M1040" s="1">
        <v>19.96</v>
      </c>
      <c r="N1040" s="1">
        <v>7.22</v>
      </c>
      <c r="O1040" s="1">
        <v>28.56</v>
      </c>
      <c r="P1040" s="1">
        <v>29.27</v>
      </c>
      <c r="Q1040" s="1">
        <v>656.88</v>
      </c>
      <c r="R1040" s="1">
        <v>51</v>
      </c>
      <c r="S1040" s="1">
        <v>80</v>
      </c>
    </row>
    <row r="1041" spans="1:19" ht="15">
      <c r="A1041" s="1">
        <v>58</v>
      </c>
      <c r="B1041" s="1" t="s">
        <v>85</v>
      </c>
      <c r="C1041" s="1" t="s">
        <v>78</v>
      </c>
      <c r="D1041" s="1">
        <v>2025</v>
      </c>
      <c r="E1041" s="1" t="s">
        <v>22</v>
      </c>
      <c r="F1041" s="1">
        <v>162120311</v>
      </c>
      <c r="G1041" s="1">
        <v>78884326</v>
      </c>
      <c r="H1041" s="1">
        <v>83235985</v>
      </c>
      <c r="I1041" s="1">
        <v>9995490</v>
      </c>
      <c r="J1041" s="1">
        <v>607993</v>
      </c>
      <c r="K1041" s="1">
        <v>6.17</v>
      </c>
      <c r="L1041" s="1">
        <v>15.68</v>
      </c>
      <c r="M1041" s="1">
        <v>25.66</v>
      </c>
      <c r="N1041" s="1">
        <v>13.74</v>
      </c>
      <c r="O1041" s="1">
        <v>34.28</v>
      </c>
      <c r="P1041" s="1">
        <v>23.75</v>
      </c>
      <c r="Q1041" s="1">
        <v>9369.26</v>
      </c>
      <c r="R1041" s="1">
        <v>74</v>
      </c>
      <c r="S1041" s="1">
        <v>70.400000000000006</v>
      </c>
    </row>
    <row r="1042" spans="1:19" ht="15">
      <c r="A1042" s="1">
        <v>58</v>
      </c>
      <c r="B1042" s="1" t="s">
        <v>85</v>
      </c>
      <c r="C1042" s="1" t="s">
        <v>78</v>
      </c>
      <c r="D1042" s="1">
        <v>2025</v>
      </c>
      <c r="E1042" s="1" t="s">
        <v>23</v>
      </c>
      <c r="F1042" s="1">
        <v>76604925</v>
      </c>
      <c r="G1042" s="1">
        <v>36920819</v>
      </c>
      <c r="H1042" s="1">
        <v>39684106</v>
      </c>
      <c r="I1042" s="1">
        <v>6610607</v>
      </c>
      <c r="J1042" s="1">
        <v>434695</v>
      </c>
      <c r="K1042" s="1">
        <v>8.6300000000000008</v>
      </c>
      <c r="L1042" s="1">
        <v>15.57</v>
      </c>
      <c r="M1042" s="1">
        <v>29.68</v>
      </c>
      <c r="N1042" s="1">
        <v>14.95</v>
      </c>
      <c r="O1042" s="1">
        <v>38.18</v>
      </c>
      <c r="P1042" s="1">
        <v>38.56</v>
      </c>
      <c r="Q1042" s="1">
        <v>9728.52</v>
      </c>
      <c r="R1042" s="1">
        <v>59</v>
      </c>
      <c r="S1042" s="1">
        <v>65.599999999999994</v>
      </c>
    </row>
    <row r="1043" spans="1:19" ht="15">
      <c r="A1043" s="1">
        <v>58</v>
      </c>
      <c r="B1043" s="1" t="s">
        <v>85</v>
      </c>
      <c r="C1043" s="1" t="s">
        <v>78</v>
      </c>
      <c r="D1043" s="1">
        <v>2026</v>
      </c>
      <c r="E1043" s="1" t="s">
        <v>21</v>
      </c>
      <c r="F1043" s="1">
        <v>138406165</v>
      </c>
      <c r="G1043" s="1">
        <v>71334110</v>
      </c>
      <c r="H1043" s="1">
        <v>67072055</v>
      </c>
      <c r="I1043" s="1">
        <v>9346691</v>
      </c>
      <c r="J1043" s="1">
        <v>635710</v>
      </c>
      <c r="K1043" s="1">
        <v>6.75</v>
      </c>
      <c r="L1043" s="1">
        <v>11.45</v>
      </c>
      <c r="M1043" s="1">
        <v>13.99</v>
      </c>
      <c r="N1043" s="1">
        <v>7.33</v>
      </c>
      <c r="O1043" s="1">
        <v>29.37</v>
      </c>
      <c r="P1043" s="1">
        <v>21.4</v>
      </c>
      <c r="Q1043" s="1">
        <v>2861.4</v>
      </c>
      <c r="R1043" s="1">
        <v>80</v>
      </c>
      <c r="S1043" s="1">
        <v>60.1</v>
      </c>
    </row>
    <row r="1044" spans="1:19" ht="15">
      <c r="A1044" s="1">
        <v>58</v>
      </c>
      <c r="B1044" s="1" t="s">
        <v>85</v>
      </c>
      <c r="C1044" s="1" t="s">
        <v>78</v>
      </c>
      <c r="D1044" s="1">
        <v>2026</v>
      </c>
      <c r="E1044" s="1" t="s">
        <v>22</v>
      </c>
      <c r="F1044" s="1">
        <v>16582552</v>
      </c>
      <c r="G1044" s="1">
        <v>8201412</v>
      </c>
      <c r="H1044" s="1">
        <v>8381140</v>
      </c>
      <c r="I1044" s="1">
        <v>1242028</v>
      </c>
      <c r="J1044" s="1">
        <v>50207</v>
      </c>
      <c r="K1044" s="1">
        <v>7.49</v>
      </c>
      <c r="L1044" s="1">
        <v>13.04</v>
      </c>
      <c r="M1044" s="1">
        <v>13.72</v>
      </c>
      <c r="N1044" s="1">
        <v>11.35</v>
      </c>
      <c r="O1044" s="1">
        <v>36.61</v>
      </c>
      <c r="P1044" s="1">
        <v>37.58</v>
      </c>
      <c r="Q1044" s="1">
        <v>7683.46</v>
      </c>
      <c r="R1044" s="1">
        <v>43</v>
      </c>
      <c r="S1044" s="1">
        <v>69.5</v>
      </c>
    </row>
    <row r="1045" spans="1:19" ht="15">
      <c r="A1045" s="1">
        <v>58</v>
      </c>
      <c r="B1045" s="1" t="s">
        <v>85</v>
      </c>
      <c r="C1045" s="1" t="s">
        <v>78</v>
      </c>
      <c r="D1045" s="1">
        <v>2026</v>
      </c>
      <c r="E1045" s="1" t="s">
        <v>23</v>
      </c>
      <c r="F1045" s="1">
        <v>185139951</v>
      </c>
      <c r="G1045" s="1">
        <v>91804146</v>
      </c>
      <c r="H1045" s="1">
        <v>93335805</v>
      </c>
      <c r="I1045" s="1">
        <v>12855294</v>
      </c>
      <c r="J1045" s="1">
        <v>846784</v>
      </c>
      <c r="K1045" s="1">
        <v>6.94</v>
      </c>
      <c r="L1045" s="1">
        <v>26.73</v>
      </c>
      <c r="M1045" s="1">
        <v>29.13</v>
      </c>
      <c r="N1045" s="1">
        <v>6.74</v>
      </c>
      <c r="O1045" s="1">
        <v>28.15</v>
      </c>
      <c r="P1045" s="1">
        <v>30.39</v>
      </c>
      <c r="Q1045" s="1">
        <v>2741.9</v>
      </c>
      <c r="R1045" s="1">
        <v>56</v>
      </c>
      <c r="S1045" s="1">
        <v>60.1</v>
      </c>
    </row>
    <row r="1046" spans="1:19" ht="15">
      <c r="A1046" s="1">
        <v>59</v>
      </c>
      <c r="B1046" s="1" t="s">
        <v>86</v>
      </c>
      <c r="C1046" s="1" t="s">
        <v>78</v>
      </c>
      <c r="D1046" s="1">
        <v>2021</v>
      </c>
      <c r="E1046" s="1" t="s">
        <v>21</v>
      </c>
      <c r="F1046" s="1">
        <v>169359447</v>
      </c>
      <c r="G1046" s="1">
        <v>83051612</v>
      </c>
      <c r="H1046" s="1">
        <v>86307835</v>
      </c>
      <c r="I1046" s="1">
        <v>16426258</v>
      </c>
      <c r="J1046" s="1">
        <v>886396</v>
      </c>
      <c r="K1046" s="1">
        <v>9.6999999999999993</v>
      </c>
      <c r="L1046" s="1">
        <v>12.32</v>
      </c>
      <c r="M1046" s="1">
        <v>31.45</v>
      </c>
      <c r="N1046" s="1">
        <v>6.16</v>
      </c>
      <c r="O1046" s="1">
        <v>25.22</v>
      </c>
      <c r="P1046" s="1">
        <v>26.75</v>
      </c>
      <c r="Q1046" s="1">
        <v>2939.08</v>
      </c>
      <c r="R1046" s="1">
        <v>58</v>
      </c>
      <c r="S1046" s="1">
        <v>71.3</v>
      </c>
    </row>
    <row r="1047" spans="1:19" ht="15">
      <c r="A1047" s="1">
        <v>59</v>
      </c>
      <c r="B1047" s="1" t="s">
        <v>86</v>
      </c>
      <c r="C1047" s="1" t="s">
        <v>78</v>
      </c>
      <c r="D1047" s="1">
        <v>2021</v>
      </c>
      <c r="E1047" s="1" t="s">
        <v>22</v>
      </c>
      <c r="F1047" s="1">
        <v>183892038</v>
      </c>
      <c r="G1047" s="1">
        <v>88921647</v>
      </c>
      <c r="H1047" s="1">
        <v>94970391</v>
      </c>
      <c r="I1047" s="1">
        <v>10143566</v>
      </c>
      <c r="J1047" s="1">
        <v>725623</v>
      </c>
      <c r="K1047" s="1">
        <v>5.52</v>
      </c>
      <c r="L1047" s="1">
        <v>28.09</v>
      </c>
      <c r="M1047" s="1">
        <v>17.5</v>
      </c>
      <c r="N1047" s="1">
        <v>12.84</v>
      </c>
      <c r="O1047" s="1">
        <v>20.04</v>
      </c>
      <c r="P1047" s="1">
        <v>20.100000000000001</v>
      </c>
      <c r="Q1047" s="1">
        <v>10862.18</v>
      </c>
      <c r="R1047" s="1">
        <v>69</v>
      </c>
      <c r="S1047" s="1">
        <v>72.599999999999994</v>
      </c>
    </row>
    <row r="1048" spans="1:19" ht="15">
      <c r="A1048" s="1">
        <v>59</v>
      </c>
      <c r="B1048" s="1" t="s">
        <v>86</v>
      </c>
      <c r="C1048" s="1" t="s">
        <v>78</v>
      </c>
      <c r="D1048" s="1">
        <v>2021</v>
      </c>
      <c r="E1048" s="1" t="s">
        <v>23</v>
      </c>
      <c r="F1048" s="1">
        <v>139112934</v>
      </c>
      <c r="G1048" s="1">
        <v>70585880</v>
      </c>
      <c r="H1048" s="1">
        <v>68527054</v>
      </c>
      <c r="I1048" s="1">
        <v>12329476</v>
      </c>
      <c r="J1048" s="1">
        <v>774662</v>
      </c>
      <c r="K1048" s="1">
        <v>8.86</v>
      </c>
      <c r="L1048" s="1">
        <v>23.43</v>
      </c>
      <c r="M1048" s="1">
        <v>28.89</v>
      </c>
      <c r="N1048" s="1">
        <v>8.32</v>
      </c>
      <c r="O1048" s="1">
        <v>27.21</v>
      </c>
      <c r="P1048" s="1">
        <v>15.04</v>
      </c>
      <c r="Q1048" s="1">
        <v>11158.65</v>
      </c>
      <c r="R1048" s="1">
        <v>56</v>
      </c>
      <c r="S1048" s="1">
        <v>64.2</v>
      </c>
    </row>
    <row r="1049" spans="1:19" ht="15">
      <c r="A1049" s="1">
        <v>59</v>
      </c>
      <c r="B1049" s="1" t="s">
        <v>86</v>
      </c>
      <c r="C1049" s="1" t="s">
        <v>78</v>
      </c>
      <c r="D1049" s="1">
        <v>2022</v>
      </c>
      <c r="E1049" s="1" t="s">
        <v>21</v>
      </c>
      <c r="F1049" s="1">
        <v>76778026</v>
      </c>
      <c r="G1049" s="1">
        <v>39611400</v>
      </c>
      <c r="H1049" s="1">
        <v>37166626</v>
      </c>
      <c r="I1049" s="1">
        <v>4872938</v>
      </c>
      <c r="J1049" s="1">
        <v>168693</v>
      </c>
      <c r="K1049" s="1">
        <v>6.35</v>
      </c>
      <c r="L1049" s="1">
        <v>29.58</v>
      </c>
      <c r="M1049" s="1">
        <v>30.8</v>
      </c>
      <c r="N1049" s="1">
        <v>11.36</v>
      </c>
      <c r="O1049" s="1">
        <v>35.299999999999997</v>
      </c>
      <c r="P1049" s="1">
        <v>30.49</v>
      </c>
      <c r="Q1049" s="1">
        <v>4161.3599999999997</v>
      </c>
      <c r="R1049" s="1">
        <v>64</v>
      </c>
      <c r="S1049" s="1">
        <v>73.7</v>
      </c>
    </row>
    <row r="1050" spans="1:19" ht="15">
      <c r="A1050" s="1">
        <v>59</v>
      </c>
      <c r="B1050" s="1" t="s">
        <v>86</v>
      </c>
      <c r="C1050" s="1" t="s">
        <v>78</v>
      </c>
      <c r="D1050" s="1">
        <v>2022</v>
      </c>
      <c r="E1050" s="1" t="s">
        <v>22</v>
      </c>
      <c r="F1050" s="1">
        <v>108387152</v>
      </c>
      <c r="G1050" s="1">
        <v>52576287</v>
      </c>
      <c r="H1050" s="1">
        <v>55810865</v>
      </c>
      <c r="I1050" s="1">
        <v>7513061</v>
      </c>
      <c r="J1050" s="1">
        <v>599504</v>
      </c>
      <c r="K1050" s="1">
        <v>6.93</v>
      </c>
      <c r="L1050" s="1">
        <v>29.57</v>
      </c>
      <c r="M1050" s="1">
        <v>12.1</v>
      </c>
      <c r="N1050" s="1">
        <v>6.25</v>
      </c>
      <c r="O1050" s="1">
        <v>32.9</v>
      </c>
      <c r="P1050" s="1">
        <v>20.3</v>
      </c>
      <c r="Q1050" s="1">
        <v>2758.86</v>
      </c>
      <c r="R1050" s="1">
        <v>81</v>
      </c>
      <c r="S1050" s="1">
        <v>78.900000000000006</v>
      </c>
    </row>
    <row r="1051" spans="1:19" ht="15">
      <c r="A1051" s="1">
        <v>59</v>
      </c>
      <c r="B1051" s="1" t="s">
        <v>86</v>
      </c>
      <c r="C1051" s="1" t="s">
        <v>78</v>
      </c>
      <c r="D1051" s="1">
        <v>2022</v>
      </c>
      <c r="E1051" s="1" t="s">
        <v>23</v>
      </c>
      <c r="F1051" s="1">
        <v>177359115</v>
      </c>
      <c r="G1051" s="1">
        <v>87036394</v>
      </c>
      <c r="H1051" s="1">
        <v>90322721</v>
      </c>
      <c r="I1051" s="1">
        <v>17717138</v>
      </c>
      <c r="J1051" s="1">
        <v>1104263</v>
      </c>
      <c r="K1051" s="1">
        <v>9.99</v>
      </c>
      <c r="L1051" s="1">
        <v>18.309999999999999</v>
      </c>
      <c r="M1051" s="1">
        <v>31.2</v>
      </c>
      <c r="N1051" s="1">
        <v>7.63</v>
      </c>
      <c r="O1051" s="1">
        <v>39.15</v>
      </c>
      <c r="P1051" s="1">
        <v>36.75</v>
      </c>
      <c r="Q1051" s="1">
        <v>11877.69</v>
      </c>
      <c r="R1051" s="1">
        <v>77</v>
      </c>
      <c r="S1051" s="1">
        <v>76.400000000000006</v>
      </c>
    </row>
    <row r="1052" spans="1:19" ht="15">
      <c r="A1052" s="1">
        <v>59</v>
      </c>
      <c r="B1052" s="1" t="s">
        <v>86</v>
      </c>
      <c r="C1052" s="1" t="s">
        <v>78</v>
      </c>
      <c r="D1052" s="1">
        <v>2023</v>
      </c>
      <c r="E1052" s="1" t="s">
        <v>21</v>
      </c>
      <c r="F1052" s="1">
        <v>133247991</v>
      </c>
      <c r="G1052" s="1">
        <v>68288835</v>
      </c>
      <c r="H1052" s="1">
        <v>64959156</v>
      </c>
      <c r="I1052" s="1">
        <v>8578109</v>
      </c>
      <c r="J1052" s="1">
        <v>438649</v>
      </c>
      <c r="K1052" s="1">
        <v>6.44</v>
      </c>
      <c r="L1052" s="1">
        <v>23.81</v>
      </c>
      <c r="M1052" s="1">
        <v>12.08</v>
      </c>
      <c r="N1052" s="1">
        <v>14.07</v>
      </c>
      <c r="O1052" s="1">
        <v>38.979999999999997</v>
      </c>
      <c r="P1052" s="1">
        <v>38.47</v>
      </c>
      <c r="Q1052" s="1">
        <v>10359.129999999999</v>
      </c>
      <c r="R1052" s="1">
        <v>52</v>
      </c>
      <c r="S1052" s="1">
        <v>72.8</v>
      </c>
    </row>
    <row r="1053" spans="1:19" ht="15">
      <c r="A1053" s="1">
        <v>59</v>
      </c>
      <c r="B1053" s="1" t="s">
        <v>86</v>
      </c>
      <c r="C1053" s="1" t="s">
        <v>78</v>
      </c>
      <c r="D1053" s="1">
        <v>2023</v>
      </c>
      <c r="E1053" s="1" t="s">
        <v>22</v>
      </c>
      <c r="F1053" s="1">
        <v>195963608</v>
      </c>
      <c r="G1053" s="1">
        <v>94530588</v>
      </c>
      <c r="H1053" s="1">
        <v>101433020</v>
      </c>
      <c r="I1053" s="1">
        <v>10351281</v>
      </c>
      <c r="J1053" s="1">
        <v>552271</v>
      </c>
      <c r="K1053" s="1">
        <v>5.28</v>
      </c>
      <c r="L1053" s="1">
        <v>22.03</v>
      </c>
      <c r="M1053" s="1">
        <v>11.18</v>
      </c>
      <c r="N1053" s="1">
        <v>11.88</v>
      </c>
      <c r="O1053" s="1">
        <v>34.049999999999997</v>
      </c>
      <c r="P1053" s="1">
        <v>31.25</v>
      </c>
      <c r="Q1053" s="1">
        <v>5379.54</v>
      </c>
      <c r="R1053" s="1">
        <v>50</v>
      </c>
      <c r="S1053" s="1">
        <v>71.3</v>
      </c>
    </row>
    <row r="1054" spans="1:19" ht="15">
      <c r="A1054" s="1">
        <v>59</v>
      </c>
      <c r="B1054" s="1" t="s">
        <v>86</v>
      </c>
      <c r="C1054" s="1" t="s">
        <v>78</v>
      </c>
      <c r="D1054" s="1">
        <v>2023</v>
      </c>
      <c r="E1054" s="1" t="s">
        <v>23</v>
      </c>
      <c r="F1054" s="1">
        <v>115896496</v>
      </c>
      <c r="G1054" s="1">
        <v>57150765</v>
      </c>
      <c r="H1054" s="1">
        <v>58745731</v>
      </c>
      <c r="I1054" s="1">
        <v>8350736</v>
      </c>
      <c r="J1054" s="1">
        <v>568377</v>
      </c>
      <c r="K1054" s="1">
        <v>7.21</v>
      </c>
      <c r="L1054" s="1">
        <v>16.309999999999999</v>
      </c>
      <c r="M1054" s="1">
        <v>16.350000000000001</v>
      </c>
      <c r="N1054" s="1">
        <v>13.37</v>
      </c>
      <c r="O1054" s="1">
        <v>24.56</v>
      </c>
      <c r="P1054" s="1">
        <v>30.31</v>
      </c>
      <c r="Q1054" s="1">
        <v>11079.44</v>
      </c>
      <c r="R1054" s="1">
        <v>80</v>
      </c>
      <c r="S1054" s="1">
        <v>64</v>
      </c>
    </row>
    <row r="1055" spans="1:19" ht="15">
      <c r="A1055" s="1">
        <v>59</v>
      </c>
      <c r="B1055" s="1" t="s">
        <v>86</v>
      </c>
      <c r="C1055" s="1" t="s">
        <v>78</v>
      </c>
      <c r="D1055" s="1">
        <v>2024</v>
      </c>
      <c r="E1055" s="1" t="s">
        <v>21</v>
      </c>
      <c r="F1055" s="1">
        <v>183254554</v>
      </c>
      <c r="G1055" s="1">
        <v>94542958</v>
      </c>
      <c r="H1055" s="1">
        <v>88711596</v>
      </c>
      <c r="I1055" s="1">
        <v>14255591</v>
      </c>
      <c r="J1055" s="1">
        <v>948627</v>
      </c>
      <c r="K1055" s="1">
        <v>7.78</v>
      </c>
      <c r="L1055" s="1">
        <v>23.55</v>
      </c>
      <c r="M1055" s="1">
        <v>10.35</v>
      </c>
      <c r="N1055" s="1">
        <v>9.84</v>
      </c>
      <c r="O1055" s="1">
        <v>39.21</v>
      </c>
      <c r="P1055" s="1">
        <v>26.07</v>
      </c>
      <c r="Q1055" s="1">
        <v>4170.24</v>
      </c>
      <c r="R1055" s="1">
        <v>84</v>
      </c>
      <c r="S1055" s="1">
        <v>75.2</v>
      </c>
    </row>
    <row r="1056" spans="1:19" ht="15">
      <c r="A1056" s="1">
        <v>59</v>
      </c>
      <c r="B1056" s="1" t="s">
        <v>86</v>
      </c>
      <c r="C1056" s="1" t="s">
        <v>78</v>
      </c>
      <c r="D1056" s="1">
        <v>2024</v>
      </c>
      <c r="E1056" s="1" t="s">
        <v>22</v>
      </c>
      <c r="F1056" s="1">
        <v>49336565</v>
      </c>
      <c r="G1056" s="1">
        <v>25094746</v>
      </c>
      <c r="H1056" s="1">
        <v>24241819</v>
      </c>
      <c r="I1056" s="1">
        <v>3111123</v>
      </c>
      <c r="J1056" s="1">
        <v>138992</v>
      </c>
      <c r="K1056" s="1">
        <v>6.31</v>
      </c>
      <c r="L1056" s="1">
        <v>18.649999999999999</v>
      </c>
      <c r="M1056" s="1">
        <v>32.51</v>
      </c>
      <c r="N1056" s="1">
        <v>7.09</v>
      </c>
      <c r="O1056" s="1">
        <v>35.39</v>
      </c>
      <c r="P1056" s="1">
        <v>32.28</v>
      </c>
      <c r="Q1056" s="1">
        <v>5850.82</v>
      </c>
      <c r="R1056" s="1">
        <v>54</v>
      </c>
      <c r="S1056" s="1">
        <v>74.5</v>
      </c>
    </row>
    <row r="1057" spans="1:19" ht="15">
      <c r="A1057" s="1">
        <v>59</v>
      </c>
      <c r="B1057" s="1" t="s">
        <v>86</v>
      </c>
      <c r="C1057" s="1" t="s">
        <v>78</v>
      </c>
      <c r="D1057" s="1">
        <v>2024</v>
      </c>
      <c r="E1057" s="1" t="s">
        <v>23</v>
      </c>
      <c r="F1057" s="1">
        <v>7421665</v>
      </c>
      <c r="G1057" s="1">
        <v>3750551</v>
      </c>
      <c r="H1057" s="1">
        <v>3671114</v>
      </c>
      <c r="I1057" s="1">
        <v>387096</v>
      </c>
      <c r="J1057" s="1">
        <v>18406</v>
      </c>
      <c r="K1057" s="1">
        <v>5.22</v>
      </c>
      <c r="L1057" s="1">
        <v>25.97</v>
      </c>
      <c r="M1057" s="1">
        <v>30.13</v>
      </c>
      <c r="N1057" s="1">
        <v>11.48</v>
      </c>
      <c r="O1057" s="1">
        <v>36.659999999999997</v>
      </c>
      <c r="P1057" s="1">
        <v>31.48</v>
      </c>
      <c r="Q1057" s="1">
        <v>8389.06</v>
      </c>
      <c r="R1057" s="1">
        <v>43</v>
      </c>
      <c r="S1057" s="1">
        <v>72.900000000000006</v>
      </c>
    </row>
    <row r="1058" spans="1:19" ht="15">
      <c r="A1058" s="1">
        <v>59</v>
      </c>
      <c r="B1058" s="1" t="s">
        <v>86</v>
      </c>
      <c r="C1058" s="1" t="s">
        <v>78</v>
      </c>
      <c r="D1058" s="1">
        <v>2025</v>
      </c>
      <c r="E1058" s="1" t="s">
        <v>21</v>
      </c>
      <c r="F1058" s="1">
        <v>166965829</v>
      </c>
      <c r="G1058" s="1">
        <v>81086592</v>
      </c>
      <c r="H1058" s="1">
        <v>85879237</v>
      </c>
      <c r="I1058" s="1">
        <v>14351368</v>
      </c>
      <c r="J1058" s="1">
        <v>549247</v>
      </c>
      <c r="K1058" s="1">
        <v>8.6</v>
      </c>
      <c r="L1058" s="1">
        <v>15.48</v>
      </c>
      <c r="M1058" s="1">
        <v>14.86</v>
      </c>
      <c r="N1058" s="1">
        <v>11.63</v>
      </c>
      <c r="O1058" s="1">
        <v>29.52</v>
      </c>
      <c r="P1058" s="1">
        <v>18.14</v>
      </c>
      <c r="Q1058" s="1">
        <v>10328.709999999999</v>
      </c>
      <c r="R1058" s="1">
        <v>71</v>
      </c>
      <c r="S1058" s="1">
        <v>73.3</v>
      </c>
    </row>
    <row r="1059" spans="1:19" ht="15">
      <c r="A1059" s="1">
        <v>59</v>
      </c>
      <c r="B1059" s="1" t="s">
        <v>86</v>
      </c>
      <c r="C1059" s="1" t="s">
        <v>78</v>
      </c>
      <c r="D1059" s="1">
        <v>2025</v>
      </c>
      <c r="E1059" s="1" t="s">
        <v>22</v>
      </c>
      <c r="F1059" s="1">
        <v>172310237</v>
      </c>
      <c r="G1059" s="1">
        <v>83448006</v>
      </c>
      <c r="H1059" s="1">
        <v>88862231</v>
      </c>
      <c r="I1059" s="1">
        <v>10104365</v>
      </c>
      <c r="J1059" s="1">
        <v>383368</v>
      </c>
      <c r="K1059" s="1">
        <v>5.86</v>
      </c>
      <c r="L1059" s="1">
        <v>13.84</v>
      </c>
      <c r="M1059" s="1">
        <v>27.59</v>
      </c>
      <c r="N1059" s="1">
        <v>8.11</v>
      </c>
      <c r="O1059" s="1">
        <v>27.14</v>
      </c>
      <c r="P1059" s="1">
        <v>30.7</v>
      </c>
      <c r="Q1059" s="1">
        <v>8525.7999999999993</v>
      </c>
      <c r="R1059" s="1">
        <v>61</v>
      </c>
      <c r="S1059" s="1">
        <v>65.8</v>
      </c>
    </row>
    <row r="1060" spans="1:19" ht="15">
      <c r="A1060" s="1">
        <v>59</v>
      </c>
      <c r="B1060" s="1" t="s">
        <v>86</v>
      </c>
      <c r="C1060" s="1" t="s">
        <v>78</v>
      </c>
      <c r="D1060" s="1">
        <v>2025</v>
      </c>
      <c r="E1060" s="1" t="s">
        <v>23</v>
      </c>
      <c r="F1060" s="1">
        <v>124782087</v>
      </c>
      <c r="G1060" s="1">
        <v>61686465</v>
      </c>
      <c r="H1060" s="1">
        <v>63095622</v>
      </c>
      <c r="I1060" s="1">
        <v>6250240</v>
      </c>
      <c r="J1060" s="1">
        <v>229258</v>
      </c>
      <c r="K1060" s="1">
        <v>5.01</v>
      </c>
      <c r="L1060" s="1">
        <v>19.84</v>
      </c>
      <c r="M1060" s="1">
        <v>19.43</v>
      </c>
      <c r="N1060" s="1">
        <v>6.01</v>
      </c>
      <c r="O1060" s="1">
        <v>36.130000000000003</v>
      </c>
      <c r="P1060" s="1">
        <v>16.43</v>
      </c>
      <c r="Q1060" s="1">
        <v>6415.3</v>
      </c>
      <c r="R1060" s="1">
        <v>52</v>
      </c>
      <c r="S1060" s="1">
        <v>74.7</v>
      </c>
    </row>
    <row r="1061" spans="1:19" ht="15">
      <c r="A1061" s="1">
        <v>59</v>
      </c>
      <c r="B1061" s="1" t="s">
        <v>86</v>
      </c>
      <c r="C1061" s="1" t="s">
        <v>78</v>
      </c>
      <c r="D1061" s="1">
        <v>2026</v>
      </c>
      <c r="E1061" s="1" t="s">
        <v>21</v>
      </c>
      <c r="F1061" s="1">
        <v>199981262</v>
      </c>
      <c r="G1061" s="1">
        <v>102898336</v>
      </c>
      <c r="H1061" s="1">
        <v>97082926</v>
      </c>
      <c r="I1061" s="1">
        <v>19429863</v>
      </c>
      <c r="J1061" s="1">
        <v>665700</v>
      </c>
      <c r="K1061" s="1">
        <v>9.7200000000000006</v>
      </c>
      <c r="L1061" s="1">
        <v>10.78</v>
      </c>
      <c r="M1061" s="1">
        <v>11.24</v>
      </c>
      <c r="N1061" s="1">
        <v>12.21</v>
      </c>
      <c r="O1061" s="1">
        <v>22.55</v>
      </c>
      <c r="P1061" s="1">
        <v>19.88</v>
      </c>
      <c r="Q1061" s="1">
        <v>3734.37</v>
      </c>
      <c r="R1061" s="1">
        <v>51</v>
      </c>
      <c r="S1061" s="1">
        <v>77.099999999999994</v>
      </c>
    </row>
    <row r="1062" spans="1:19" ht="15">
      <c r="A1062" s="1">
        <v>59</v>
      </c>
      <c r="B1062" s="1" t="s">
        <v>86</v>
      </c>
      <c r="C1062" s="1" t="s">
        <v>78</v>
      </c>
      <c r="D1062" s="1">
        <v>2026</v>
      </c>
      <c r="E1062" s="1" t="s">
        <v>22</v>
      </c>
      <c r="F1062" s="1">
        <v>120003929</v>
      </c>
      <c r="G1062" s="1">
        <v>58820741</v>
      </c>
      <c r="H1062" s="1">
        <v>61183188</v>
      </c>
      <c r="I1062" s="1">
        <v>6605745</v>
      </c>
      <c r="J1062" s="1">
        <v>376597</v>
      </c>
      <c r="K1062" s="1">
        <v>5.5</v>
      </c>
      <c r="L1062" s="1">
        <v>16.690000000000001</v>
      </c>
      <c r="M1062" s="1">
        <v>23.27</v>
      </c>
      <c r="N1062" s="1">
        <v>12.95</v>
      </c>
      <c r="O1062" s="1">
        <v>35.08</v>
      </c>
      <c r="P1062" s="1">
        <v>27.93</v>
      </c>
      <c r="Q1062" s="1">
        <v>11046.47</v>
      </c>
      <c r="R1062" s="1">
        <v>79</v>
      </c>
      <c r="S1062" s="1">
        <v>63.1</v>
      </c>
    </row>
    <row r="1063" spans="1:19" ht="15">
      <c r="A1063" s="1">
        <v>59</v>
      </c>
      <c r="B1063" s="1" t="s">
        <v>86</v>
      </c>
      <c r="C1063" s="1" t="s">
        <v>78</v>
      </c>
      <c r="D1063" s="1">
        <v>2026</v>
      </c>
      <c r="E1063" s="1" t="s">
        <v>23</v>
      </c>
      <c r="F1063" s="1">
        <v>40567696</v>
      </c>
      <c r="G1063" s="1">
        <v>20386342</v>
      </c>
      <c r="H1063" s="1">
        <v>20181354</v>
      </c>
      <c r="I1063" s="1">
        <v>2742299</v>
      </c>
      <c r="J1063" s="1">
        <v>144611</v>
      </c>
      <c r="K1063" s="1">
        <v>6.76</v>
      </c>
      <c r="L1063" s="1">
        <v>25.9</v>
      </c>
      <c r="M1063" s="1">
        <v>15.26</v>
      </c>
      <c r="N1063" s="1">
        <v>10.96</v>
      </c>
      <c r="O1063" s="1">
        <v>23.98</v>
      </c>
      <c r="P1063" s="1">
        <v>26.32</v>
      </c>
      <c r="Q1063" s="1">
        <v>2510.91</v>
      </c>
      <c r="R1063" s="1">
        <v>69</v>
      </c>
      <c r="S1063" s="1">
        <v>63.9</v>
      </c>
    </row>
    <row r="1064" spans="1:19" ht="15">
      <c r="A1064" s="1">
        <v>60</v>
      </c>
      <c r="B1064" s="1" t="s">
        <v>87</v>
      </c>
      <c r="C1064" s="1" t="s">
        <v>78</v>
      </c>
      <c r="D1064" s="1">
        <v>2021</v>
      </c>
      <c r="E1064" s="1" t="s">
        <v>21</v>
      </c>
      <c r="F1064" s="1">
        <v>11593841</v>
      </c>
      <c r="G1064" s="1">
        <v>5969986</v>
      </c>
      <c r="H1064" s="1">
        <v>5623855</v>
      </c>
      <c r="I1064" s="1">
        <v>1064748</v>
      </c>
      <c r="J1064" s="1">
        <v>78784</v>
      </c>
      <c r="K1064" s="1">
        <v>9.18</v>
      </c>
      <c r="L1064" s="1">
        <v>23.12</v>
      </c>
      <c r="M1064" s="1">
        <v>27.26</v>
      </c>
      <c r="N1064" s="1">
        <v>13.24</v>
      </c>
      <c r="O1064" s="1">
        <v>23.15</v>
      </c>
      <c r="P1064" s="1">
        <v>17.27</v>
      </c>
      <c r="Q1064" s="1">
        <v>6104.69</v>
      </c>
      <c r="R1064" s="1">
        <v>53</v>
      </c>
      <c r="S1064" s="1">
        <v>61.9</v>
      </c>
    </row>
    <row r="1065" spans="1:19" ht="15">
      <c r="A1065" s="1">
        <v>60</v>
      </c>
      <c r="B1065" s="1" t="s">
        <v>87</v>
      </c>
      <c r="C1065" s="1" t="s">
        <v>78</v>
      </c>
      <c r="D1065" s="1">
        <v>2021</v>
      </c>
      <c r="E1065" s="1" t="s">
        <v>22</v>
      </c>
      <c r="F1065" s="1">
        <v>134671948</v>
      </c>
      <c r="G1065" s="1">
        <v>65030072</v>
      </c>
      <c r="H1065" s="1">
        <v>69641876</v>
      </c>
      <c r="I1065" s="1">
        <v>9459302</v>
      </c>
      <c r="J1065" s="1">
        <v>747165</v>
      </c>
      <c r="K1065" s="1">
        <v>7.02</v>
      </c>
      <c r="L1065" s="1">
        <v>13.53</v>
      </c>
      <c r="M1065" s="1">
        <v>28.39</v>
      </c>
      <c r="N1065" s="1">
        <v>9.84</v>
      </c>
      <c r="O1065" s="1">
        <v>35.700000000000003</v>
      </c>
      <c r="P1065" s="1">
        <v>29.69</v>
      </c>
      <c r="Q1065" s="1">
        <v>7945.26</v>
      </c>
      <c r="R1065" s="1">
        <v>69</v>
      </c>
      <c r="S1065" s="1">
        <v>74.8</v>
      </c>
    </row>
    <row r="1066" spans="1:19" ht="15">
      <c r="A1066" s="1">
        <v>60</v>
      </c>
      <c r="B1066" s="1" t="s">
        <v>87</v>
      </c>
      <c r="C1066" s="1" t="s">
        <v>78</v>
      </c>
      <c r="D1066" s="1">
        <v>2021</v>
      </c>
      <c r="E1066" s="1" t="s">
        <v>23</v>
      </c>
      <c r="F1066" s="1">
        <v>66848470</v>
      </c>
      <c r="G1066" s="1">
        <v>33052829</v>
      </c>
      <c r="H1066" s="1">
        <v>33795641</v>
      </c>
      <c r="I1066" s="1">
        <v>6655663</v>
      </c>
      <c r="J1066" s="1">
        <v>532012</v>
      </c>
      <c r="K1066" s="1">
        <v>9.9600000000000009</v>
      </c>
      <c r="L1066" s="1">
        <v>28.31</v>
      </c>
      <c r="M1066" s="1">
        <v>23.21</v>
      </c>
      <c r="N1066" s="1">
        <v>14.5</v>
      </c>
      <c r="O1066" s="1">
        <v>32.1</v>
      </c>
      <c r="P1066" s="1">
        <v>27.05</v>
      </c>
      <c r="Q1066" s="1">
        <v>8700.74</v>
      </c>
      <c r="R1066" s="1">
        <v>43</v>
      </c>
      <c r="S1066" s="1">
        <v>73.2</v>
      </c>
    </row>
    <row r="1067" spans="1:19" ht="15">
      <c r="A1067" s="1">
        <v>60</v>
      </c>
      <c r="B1067" s="1" t="s">
        <v>87</v>
      </c>
      <c r="C1067" s="1" t="s">
        <v>78</v>
      </c>
      <c r="D1067" s="1">
        <v>2022</v>
      </c>
      <c r="E1067" s="1" t="s">
        <v>21</v>
      </c>
      <c r="F1067" s="1">
        <v>190480718</v>
      </c>
      <c r="G1067" s="1">
        <v>95580447</v>
      </c>
      <c r="H1067" s="1">
        <v>94900271</v>
      </c>
      <c r="I1067" s="1">
        <v>9533858</v>
      </c>
      <c r="J1067" s="1">
        <v>297637</v>
      </c>
      <c r="K1067" s="1">
        <v>5.01</v>
      </c>
      <c r="L1067" s="1">
        <v>15.19</v>
      </c>
      <c r="M1067" s="1">
        <v>18.010000000000002</v>
      </c>
      <c r="N1067" s="1">
        <v>10.76</v>
      </c>
      <c r="O1067" s="1">
        <v>38.630000000000003</v>
      </c>
      <c r="P1067" s="1">
        <v>27.26</v>
      </c>
      <c r="Q1067" s="1">
        <v>4656.3100000000004</v>
      </c>
      <c r="R1067" s="1">
        <v>78</v>
      </c>
      <c r="S1067" s="1">
        <v>64.599999999999994</v>
      </c>
    </row>
    <row r="1068" spans="1:19" ht="15">
      <c r="A1068" s="1">
        <v>60</v>
      </c>
      <c r="B1068" s="1" t="s">
        <v>87</v>
      </c>
      <c r="C1068" s="1" t="s">
        <v>78</v>
      </c>
      <c r="D1068" s="1">
        <v>2022</v>
      </c>
      <c r="E1068" s="1" t="s">
        <v>22</v>
      </c>
      <c r="F1068" s="1">
        <v>188857358</v>
      </c>
      <c r="G1068" s="1">
        <v>97322790</v>
      </c>
      <c r="H1068" s="1">
        <v>91534568</v>
      </c>
      <c r="I1068" s="1">
        <v>16337621</v>
      </c>
      <c r="J1068" s="1">
        <v>1065005</v>
      </c>
      <c r="K1068" s="1">
        <v>8.65</v>
      </c>
      <c r="L1068" s="1">
        <v>26.41</v>
      </c>
      <c r="M1068" s="1">
        <v>34.56</v>
      </c>
      <c r="N1068" s="1">
        <v>6.41</v>
      </c>
      <c r="O1068" s="1">
        <v>36.65</v>
      </c>
      <c r="P1068" s="1">
        <v>22.19</v>
      </c>
      <c r="Q1068" s="1">
        <v>9837.93</v>
      </c>
      <c r="R1068" s="1">
        <v>49</v>
      </c>
      <c r="S1068" s="1">
        <v>63.6</v>
      </c>
    </row>
    <row r="1069" spans="1:19" ht="15">
      <c r="A1069" s="1">
        <v>60</v>
      </c>
      <c r="B1069" s="1" t="s">
        <v>87</v>
      </c>
      <c r="C1069" s="1" t="s">
        <v>78</v>
      </c>
      <c r="D1069" s="1">
        <v>2022</v>
      </c>
      <c r="E1069" s="1" t="s">
        <v>23</v>
      </c>
      <c r="F1069" s="1">
        <v>30991751</v>
      </c>
      <c r="G1069" s="1">
        <v>15020042</v>
      </c>
      <c r="H1069" s="1">
        <v>15971709</v>
      </c>
      <c r="I1069" s="1">
        <v>1603837</v>
      </c>
      <c r="J1069" s="1">
        <v>66758</v>
      </c>
      <c r="K1069" s="1">
        <v>5.18</v>
      </c>
      <c r="L1069" s="1">
        <v>20.45</v>
      </c>
      <c r="M1069" s="1">
        <v>22.62</v>
      </c>
      <c r="N1069" s="1">
        <v>9.41</v>
      </c>
      <c r="O1069" s="1">
        <v>28.12</v>
      </c>
      <c r="P1069" s="1">
        <v>39.700000000000003</v>
      </c>
      <c r="Q1069" s="1">
        <v>10331.790000000001</v>
      </c>
      <c r="R1069" s="1">
        <v>72</v>
      </c>
      <c r="S1069" s="1">
        <v>79.099999999999994</v>
      </c>
    </row>
    <row r="1070" spans="1:19" ht="15">
      <c r="A1070" s="1">
        <v>60</v>
      </c>
      <c r="B1070" s="1" t="s">
        <v>87</v>
      </c>
      <c r="C1070" s="1" t="s">
        <v>78</v>
      </c>
      <c r="D1070" s="1">
        <v>2023</v>
      </c>
      <c r="E1070" s="1" t="s">
        <v>21</v>
      </c>
      <c r="F1070" s="1">
        <v>161745104</v>
      </c>
      <c r="G1070" s="1">
        <v>77660541</v>
      </c>
      <c r="H1070" s="1">
        <v>84084563</v>
      </c>
      <c r="I1070" s="1">
        <v>15242071</v>
      </c>
      <c r="J1070" s="1">
        <v>772521</v>
      </c>
      <c r="K1070" s="1">
        <v>9.42</v>
      </c>
      <c r="L1070" s="1">
        <v>27.85</v>
      </c>
      <c r="M1070" s="1">
        <v>18.02</v>
      </c>
      <c r="N1070" s="1">
        <v>14.74</v>
      </c>
      <c r="O1070" s="1">
        <v>37.950000000000003</v>
      </c>
      <c r="P1070" s="1">
        <v>28.73</v>
      </c>
      <c r="Q1070" s="1">
        <v>3880.21</v>
      </c>
      <c r="R1070" s="1">
        <v>51</v>
      </c>
      <c r="S1070" s="1">
        <v>66.8</v>
      </c>
    </row>
    <row r="1071" spans="1:19" ht="15">
      <c r="A1071" s="1">
        <v>60</v>
      </c>
      <c r="B1071" s="1" t="s">
        <v>87</v>
      </c>
      <c r="C1071" s="1" t="s">
        <v>78</v>
      </c>
      <c r="D1071" s="1">
        <v>2023</v>
      </c>
      <c r="E1071" s="1" t="s">
        <v>22</v>
      </c>
      <c r="F1071" s="1">
        <v>33575417</v>
      </c>
      <c r="G1071" s="1">
        <v>16906894</v>
      </c>
      <c r="H1071" s="1">
        <v>16668523</v>
      </c>
      <c r="I1071" s="1">
        <v>3302288</v>
      </c>
      <c r="J1071" s="1">
        <v>199827</v>
      </c>
      <c r="K1071" s="1">
        <v>9.84</v>
      </c>
      <c r="L1071" s="1">
        <v>15.84</v>
      </c>
      <c r="M1071" s="1">
        <v>31.61</v>
      </c>
      <c r="N1071" s="1">
        <v>9.2100000000000009</v>
      </c>
      <c r="O1071" s="1">
        <v>23.87</v>
      </c>
      <c r="P1071" s="1">
        <v>29.65</v>
      </c>
      <c r="Q1071" s="1">
        <v>7518.95</v>
      </c>
      <c r="R1071" s="1">
        <v>45</v>
      </c>
      <c r="S1071" s="1">
        <v>66.099999999999994</v>
      </c>
    </row>
    <row r="1072" spans="1:19" ht="15">
      <c r="A1072" s="1">
        <v>60</v>
      </c>
      <c r="B1072" s="1" t="s">
        <v>87</v>
      </c>
      <c r="C1072" s="1" t="s">
        <v>78</v>
      </c>
      <c r="D1072" s="1">
        <v>2023</v>
      </c>
      <c r="E1072" s="1" t="s">
        <v>23</v>
      </c>
      <c r="F1072" s="1">
        <v>86040313</v>
      </c>
      <c r="G1072" s="1">
        <v>43900163</v>
      </c>
      <c r="H1072" s="1">
        <v>42140150</v>
      </c>
      <c r="I1072" s="1">
        <v>6132285</v>
      </c>
      <c r="J1072" s="1">
        <v>374562</v>
      </c>
      <c r="K1072" s="1">
        <v>7.13</v>
      </c>
      <c r="L1072" s="1">
        <v>16.04</v>
      </c>
      <c r="M1072" s="1">
        <v>30.27</v>
      </c>
      <c r="N1072" s="1">
        <v>6.6</v>
      </c>
      <c r="O1072" s="1">
        <v>23.61</v>
      </c>
      <c r="P1072" s="1">
        <v>36.74</v>
      </c>
      <c r="Q1072" s="1">
        <v>7818.98</v>
      </c>
      <c r="R1072" s="1">
        <v>60</v>
      </c>
      <c r="S1072" s="1">
        <v>61.5</v>
      </c>
    </row>
    <row r="1073" spans="1:19" ht="15">
      <c r="A1073" s="1">
        <v>60</v>
      </c>
      <c r="B1073" s="1" t="s">
        <v>87</v>
      </c>
      <c r="C1073" s="1" t="s">
        <v>78</v>
      </c>
      <c r="D1073" s="1">
        <v>2024</v>
      </c>
      <c r="E1073" s="1" t="s">
        <v>21</v>
      </c>
      <c r="F1073" s="1">
        <v>29630603</v>
      </c>
      <c r="G1073" s="1">
        <v>14891766</v>
      </c>
      <c r="H1073" s="1">
        <v>14738837</v>
      </c>
      <c r="I1073" s="1">
        <v>2502671</v>
      </c>
      <c r="J1073" s="1">
        <v>184888</v>
      </c>
      <c r="K1073" s="1">
        <v>8.4499999999999993</v>
      </c>
      <c r="L1073" s="1">
        <v>24.23</v>
      </c>
      <c r="M1073" s="1">
        <v>21.12</v>
      </c>
      <c r="N1073" s="1">
        <v>14.36</v>
      </c>
      <c r="O1073" s="1">
        <v>34.119999999999997</v>
      </c>
      <c r="P1073" s="1">
        <v>29.14</v>
      </c>
      <c r="Q1073" s="1">
        <v>11497.18</v>
      </c>
      <c r="R1073" s="1">
        <v>76</v>
      </c>
      <c r="S1073" s="1">
        <v>79.900000000000006</v>
      </c>
    </row>
    <row r="1074" spans="1:19" ht="15">
      <c r="A1074" s="1">
        <v>60</v>
      </c>
      <c r="B1074" s="1" t="s">
        <v>87</v>
      </c>
      <c r="C1074" s="1" t="s">
        <v>78</v>
      </c>
      <c r="D1074" s="1">
        <v>2024</v>
      </c>
      <c r="E1074" s="1" t="s">
        <v>22</v>
      </c>
      <c r="F1074" s="1">
        <v>152287833</v>
      </c>
      <c r="G1074" s="1">
        <v>73379700</v>
      </c>
      <c r="H1074" s="1">
        <v>78908133</v>
      </c>
      <c r="I1074" s="1">
        <v>11188449</v>
      </c>
      <c r="J1074" s="1">
        <v>477552</v>
      </c>
      <c r="K1074" s="1">
        <v>7.35</v>
      </c>
      <c r="L1074" s="1">
        <v>15.23</v>
      </c>
      <c r="M1074" s="1">
        <v>28.11</v>
      </c>
      <c r="N1074" s="1">
        <v>7.43</v>
      </c>
      <c r="O1074" s="1">
        <v>27.91</v>
      </c>
      <c r="P1074" s="1">
        <v>18.010000000000002</v>
      </c>
      <c r="Q1074" s="1">
        <v>3738.02</v>
      </c>
      <c r="R1074" s="1">
        <v>50</v>
      </c>
      <c r="S1074" s="1">
        <v>72.400000000000006</v>
      </c>
    </row>
    <row r="1075" spans="1:19" ht="15">
      <c r="A1075" s="1">
        <v>60</v>
      </c>
      <c r="B1075" s="1" t="s">
        <v>87</v>
      </c>
      <c r="C1075" s="1" t="s">
        <v>78</v>
      </c>
      <c r="D1075" s="1">
        <v>2024</v>
      </c>
      <c r="E1075" s="1" t="s">
        <v>23</v>
      </c>
      <c r="F1075" s="1">
        <v>19308491</v>
      </c>
      <c r="G1075" s="1">
        <v>9641507</v>
      </c>
      <c r="H1075" s="1">
        <v>9666984</v>
      </c>
      <c r="I1075" s="1">
        <v>1309834</v>
      </c>
      <c r="J1075" s="1">
        <v>104755</v>
      </c>
      <c r="K1075" s="1">
        <v>6.78</v>
      </c>
      <c r="L1075" s="1">
        <v>15.41</v>
      </c>
      <c r="M1075" s="1">
        <v>26.11</v>
      </c>
      <c r="N1075" s="1">
        <v>11.44</v>
      </c>
      <c r="O1075" s="1">
        <v>29.54</v>
      </c>
      <c r="P1075" s="1">
        <v>20.7</v>
      </c>
      <c r="Q1075" s="1">
        <v>943.43</v>
      </c>
      <c r="R1075" s="1">
        <v>72</v>
      </c>
      <c r="S1075" s="1">
        <v>68.7</v>
      </c>
    </row>
    <row r="1076" spans="1:19" ht="15">
      <c r="A1076" s="1">
        <v>60</v>
      </c>
      <c r="B1076" s="1" t="s">
        <v>87</v>
      </c>
      <c r="C1076" s="1" t="s">
        <v>78</v>
      </c>
      <c r="D1076" s="1">
        <v>2025</v>
      </c>
      <c r="E1076" s="1" t="s">
        <v>21</v>
      </c>
      <c r="F1076" s="1">
        <v>196955211</v>
      </c>
      <c r="G1076" s="1">
        <v>102129615</v>
      </c>
      <c r="H1076" s="1">
        <v>94825596</v>
      </c>
      <c r="I1076" s="1">
        <v>13015740</v>
      </c>
      <c r="J1076" s="1">
        <v>1031675</v>
      </c>
      <c r="K1076" s="1">
        <v>6.61</v>
      </c>
      <c r="L1076" s="1">
        <v>23.87</v>
      </c>
      <c r="M1076" s="1">
        <v>19.420000000000002</v>
      </c>
      <c r="N1076" s="1">
        <v>7.71</v>
      </c>
      <c r="O1076" s="1">
        <v>24.11</v>
      </c>
      <c r="P1076" s="1">
        <v>21.02</v>
      </c>
      <c r="Q1076" s="1">
        <v>10533.24</v>
      </c>
      <c r="R1076" s="1">
        <v>57</v>
      </c>
      <c r="S1076" s="1">
        <v>77</v>
      </c>
    </row>
    <row r="1077" spans="1:19" ht="15">
      <c r="A1077" s="1">
        <v>60</v>
      </c>
      <c r="B1077" s="1" t="s">
        <v>87</v>
      </c>
      <c r="C1077" s="1" t="s">
        <v>78</v>
      </c>
      <c r="D1077" s="1">
        <v>2025</v>
      </c>
      <c r="E1077" s="1" t="s">
        <v>22</v>
      </c>
      <c r="F1077" s="1">
        <v>103939355</v>
      </c>
      <c r="G1077" s="1">
        <v>51389149</v>
      </c>
      <c r="H1077" s="1">
        <v>52550206</v>
      </c>
      <c r="I1077" s="1">
        <v>8686333</v>
      </c>
      <c r="J1077" s="1">
        <v>658704</v>
      </c>
      <c r="K1077" s="1">
        <v>8.36</v>
      </c>
      <c r="L1077" s="1">
        <v>10.27</v>
      </c>
      <c r="M1077" s="1">
        <v>25.65</v>
      </c>
      <c r="N1077" s="1">
        <v>6.3</v>
      </c>
      <c r="O1077" s="1">
        <v>39.4</v>
      </c>
      <c r="P1077" s="1">
        <v>28.05</v>
      </c>
      <c r="Q1077" s="1">
        <v>10745.66</v>
      </c>
      <c r="R1077" s="1">
        <v>68</v>
      </c>
      <c r="S1077" s="1">
        <v>65.900000000000006</v>
      </c>
    </row>
    <row r="1078" spans="1:19" ht="15">
      <c r="A1078" s="1">
        <v>60</v>
      </c>
      <c r="B1078" s="1" t="s">
        <v>87</v>
      </c>
      <c r="C1078" s="1" t="s">
        <v>78</v>
      </c>
      <c r="D1078" s="1">
        <v>2025</v>
      </c>
      <c r="E1078" s="1" t="s">
        <v>23</v>
      </c>
      <c r="F1078" s="1">
        <v>115470635</v>
      </c>
      <c r="G1078" s="1">
        <v>59359164</v>
      </c>
      <c r="H1078" s="1">
        <v>56111471</v>
      </c>
      <c r="I1078" s="1">
        <v>5801686</v>
      </c>
      <c r="J1078" s="1">
        <v>289680</v>
      </c>
      <c r="K1078" s="1">
        <v>5.0199999999999996</v>
      </c>
      <c r="L1078" s="1">
        <v>19.54</v>
      </c>
      <c r="M1078" s="1">
        <v>13.65</v>
      </c>
      <c r="N1078" s="1">
        <v>5.83</v>
      </c>
      <c r="O1078" s="1">
        <v>38.840000000000003</v>
      </c>
      <c r="P1078" s="1">
        <v>38.49</v>
      </c>
      <c r="Q1078" s="1">
        <v>6141.6</v>
      </c>
      <c r="R1078" s="1">
        <v>69</v>
      </c>
      <c r="S1078" s="1">
        <v>61.5</v>
      </c>
    </row>
    <row r="1079" spans="1:19" ht="15">
      <c r="A1079" s="1">
        <v>60</v>
      </c>
      <c r="B1079" s="1" t="s">
        <v>87</v>
      </c>
      <c r="C1079" s="1" t="s">
        <v>78</v>
      </c>
      <c r="D1079" s="1">
        <v>2026</v>
      </c>
      <c r="E1079" s="1" t="s">
        <v>21</v>
      </c>
      <c r="F1079" s="1">
        <v>170211345</v>
      </c>
      <c r="G1079" s="1">
        <v>83193790</v>
      </c>
      <c r="H1079" s="1">
        <v>87017555</v>
      </c>
      <c r="I1079" s="1">
        <v>9146586</v>
      </c>
      <c r="J1079" s="1">
        <v>359810</v>
      </c>
      <c r="K1079" s="1">
        <v>5.37</v>
      </c>
      <c r="L1079" s="1">
        <v>13.5</v>
      </c>
      <c r="M1079" s="1">
        <v>13.92</v>
      </c>
      <c r="N1079" s="1">
        <v>8.91</v>
      </c>
      <c r="O1079" s="1">
        <v>27.32</v>
      </c>
      <c r="P1079" s="1">
        <v>21.47</v>
      </c>
      <c r="Q1079" s="1">
        <v>2126.21</v>
      </c>
      <c r="R1079" s="1">
        <v>80</v>
      </c>
      <c r="S1079" s="1">
        <v>68.599999999999994</v>
      </c>
    </row>
    <row r="1080" spans="1:19" ht="15">
      <c r="A1080" s="1">
        <v>60</v>
      </c>
      <c r="B1080" s="1" t="s">
        <v>87</v>
      </c>
      <c r="C1080" s="1" t="s">
        <v>78</v>
      </c>
      <c r="D1080" s="1">
        <v>2026</v>
      </c>
      <c r="E1080" s="1" t="s">
        <v>22</v>
      </c>
      <c r="F1080" s="1">
        <v>113456912</v>
      </c>
      <c r="G1080" s="1">
        <v>56439323</v>
      </c>
      <c r="H1080" s="1">
        <v>57017589</v>
      </c>
      <c r="I1080" s="1">
        <v>10014319</v>
      </c>
      <c r="J1080" s="1">
        <v>548454</v>
      </c>
      <c r="K1080" s="1">
        <v>8.83</v>
      </c>
      <c r="L1080" s="1">
        <v>23.78</v>
      </c>
      <c r="M1080" s="1">
        <v>31.14</v>
      </c>
      <c r="N1080" s="1">
        <v>8.44</v>
      </c>
      <c r="O1080" s="1">
        <v>34.81</v>
      </c>
      <c r="P1080" s="1">
        <v>20.83</v>
      </c>
      <c r="Q1080" s="1">
        <v>2332.19</v>
      </c>
      <c r="R1080" s="1">
        <v>51</v>
      </c>
      <c r="S1080" s="1">
        <v>65.7</v>
      </c>
    </row>
    <row r="1081" spans="1:19" ht="15">
      <c r="A1081" s="1">
        <v>60</v>
      </c>
      <c r="B1081" s="1" t="s">
        <v>87</v>
      </c>
      <c r="C1081" s="1" t="s">
        <v>78</v>
      </c>
      <c r="D1081" s="1">
        <v>2026</v>
      </c>
      <c r="E1081" s="1" t="s">
        <v>23</v>
      </c>
      <c r="F1081" s="1">
        <v>131885171</v>
      </c>
      <c r="G1081" s="1">
        <v>68544604</v>
      </c>
      <c r="H1081" s="1">
        <v>63340567</v>
      </c>
      <c r="I1081" s="1">
        <v>10221782</v>
      </c>
      <c r="J1081" s="1">
        <v>689684</v>
      </c>
      <c r="K1081" s="1">
        <v>7.75</v>
      </c>
      <c r="L1081" s="1">
        <v>18.2</v>
      </c>
      <c r="M1081" s="1">
        <v>23.74</v>
      </c>
      <c r="N1081" s="1">
        <v>5.09</v>
      </c>
      <c r="O1081" s="1">
        <v>32.450000000000003</v>
      </c>
      <c r="P1081" s="1">
        <v>18.59</v>
      </c>
      <c r="Q1081" s="1">
        <v>5715.2</v>
      </c>
      <c r="R1081" s="1">
        <v>84</v>
      </c>
      <c r="S1081" s="1">
        <v>72.099999999999994</v>
      </c>
    </row>
    <row r="1082" spans="1:19" ht="15">
      <c r="A1082" s="1">
        <v>61</v>
      </c>
      <c r="B1082" s="1" t="s">
        <v>88</v>
      </c>
      <c r="C1082" s="1" t="s">
        <v>78</v>
      </c>
      <c r="D1082" s="1">
        <v>2021</v>
      </c>
      <c r="E1082" s="1" t="s">
        <v>21</v>
      </c>
      <c r="F1082" s="1">
        <v>43194749</v>
      </c>
      <c r="G1082" s="1">
        <v>21568049</v>
      </c>
      <c r="H1082" s="1">
        <v>21626700</v>
      </c>
      <c r="I1082" s="1">
        <v>2947066</v>
      </c>
      <c r="J1082" s="1">
        <v>221557</v>
      </c>
      <c r="K1082" s="1">
        <v>6.82</v>
      </c>
      <c r="L1082" s="1">
        <v>19.96</v>
      </c>
      <c r="M1082" s="1">
        <v>25.14</v>
      </c>
      <c r="N1082" s="1">
        <v>13.35</v>
      </c>
      <c r="O1082" s="1">
        <v>30.48</v>
      </c>
      <c r="P1082" s="1">
        <v>15.92</v>
      </c>
      <c r="Q1082" s="1">
        <v>8970.07</v>
      </c>
      <c r="R1082" s="1">
        <v>72</v>
      </c>
      <c r="S1082" s="1">
        <v>75.3</v>
      </c>
    </row>
    <row r="1083" spans="1:19" ht="15">
      <c r="A1083" s="1">
        <v>61</v>
      </c>
      <c r="B1083" s="1" t="s">
        <v>88</v>
      </c>
      <c r="C1083" s="1" t="s">
        <v>78</v>
      </c>
      <c r="D1083" s="1">
        <v>2021</v>
      </c>
      <c r="E1083" s="1" t="s">
        <v>22</v>
      </c>
      <c r="F1083" s="1">
        <v>172326075</v>
      </c>
      <c r="G1083" s="1">
        <v>83266604</v>
      </c>
      <c r="H1083" s="1">
        <v>89059471</v>
      </c>
      <c r="I1083" s="1">
        <v>15469733</v>
      </c>
      <c r="J1083" s="1">
        <v>904680</v>
      </c>
      <c r="K1083" s="1">
        <v>8.98</v>
      </c>
      <c r="L1083" s="1">
        <v>26.15</v>
      </c>
      <c r="M1083" s="1">
        <v>30.67</v>
      </c>
      <c r="N1083" s="1">
        <v>7.96</v>
      </c>
      <c r="O1083" s="1">
        <v>38.1</v>
      </c>
      <c r="P1083" s="1">
        <v>28.09</v>
      </c>
      <c r="Q1083" s="1">
        <v>4065.78</v>
      </c>
      <c r="R1083" s="1">
        <v>45</v>
      </c>
      <c r="S1083" s="1">
        <v>81.599999999999994</v>
      </c>
    </row>
    <row r="1084" spans="1:19" ht="15">
      <c r="A1084" s="1">
        <v>61</v>
      </c>
      <c r="B1084" s="1" t="s">
        <v>88</v>
      </c>
      <c r="C1084" s="1" t="s">
        <v>78</v>
      </c>
      <c r="D1084" s="1">
        <v>2021</v>
      </c>
      <c r="E1084" s="1" t="s">
        <v>23</v>
      </c>
      <c r="F1084" s="1">
        <v>26377908</v>
      </c>
      <c r="G1084" s="1">
        <v>13411102</v>
      </c>
      <c r="H1084" s="1">
        <v>12966806</v>
      </c>
      <c r="I1084" s="1">
        <v>1373110</v>
      </c>
      <c r="J1084" s="1">
        <v>102544</v>
      </c>
      <c r="K1084" s="1">
        <v>5.21</v>
      </c>
      <c r="L1084" s="1">
        <v>17.489999999999998</v>
      </c>
      <c r="M1084" s="1">
        <v>10.09</v>
      </c>
      <c r="N1084" s="1">
        <v>10.47</v>
      </c>
      <c r="O1084" s="1">
        <v>25.56</v>
      </c>
      <c r="P1084" s="1">
        <v>24.67</v>
      </c>
      <c r="Q1084" s="1">
        <v>6477.75</v>
      </c>
      <c r="R1084" s="1">
        <v>41</v>
      </c>
      <c r="S1084" s="1">
        <v>72.400000000000006</v>
      </c>
    </row>
    <row r="1085" spans="1:19" ht="15">
      <c r="A1085" s="1">
        <v>61</v>
      </c>
      <c r="B1085" s="1" t="s">
        <v>88</v>
      </c>
      <c r="C1085" s="1" t="s">
        <v>78</v>
      </c>
      <c r="D1085" s="1">
        <v>2022</v>
      </c>
      <c r="E1085" s="1" t="s">
        <v>21</v>
      </c>
      <c r="F1085" s="1">
        <v>81154078</v>
      </c>
      <c r="G1085" s="1">
        <v>41146560</v>
      </c>
      <c r="H1085" s="1">
        <v>40007518</v>
      </c>
      <c r="I1085" s="1">
        <v>4388004</v>
      </c>
      <c r="J1085" s="1">
        <v>195887</v>
      </c>
      <c r="K1085" s="1">
        <v>5.41</v>
      </c>
      <c r="L1085" s="1">
        <v>10.27</v>
      </c>
      <c r="M1085" s="1">
        <v>33.65</v>
      </c>
      <c r="N1085" s="1">
        <v>8.0399999999999991</v>
      </c>
      <c r="O1085" s="1">
        <v>28.82</v>
      </c>
      <c r="P1085" s="1">
        <v>22.92</v>
      </c>
      <c r="Q1085" s="1">
        <v>7086.31</v>
      </c>
      <c r="R1085" s="1">
        <v>59</v>
      </c>
      <c r="S1085" s="1">
        <v>63.2</v>
      </c>
    </row>
    <row r="1086" spans="1:19" ht="15">
      <c r="A1086" s="1">
        <v>61</v>
      </c>
      <c r="B1086" s="1" t="s">
        <v>88</v>
      </c>
      <c r="C1086" s="1" t="s">
        <v>78</v>
      </c>
      <c r="D1086" s="1">
        <v>2022</v>
      </c>
      <c r="E1086" s="1" t="s">
        <v>22</v>
      </c>
      <c r="F1086" s="1">
        <v>59143572</v>
      </c>
      <c r="G1086" s="1">
        <v>29371602</v>
      </c>
      <c r="H1086" s="1">
        <v>29771970</v>
      </c>
      <c r="I1086" s="1">
        <v>5531339</v>
      </c>
      <c r="J1086" s="1">
        <v>192046</v>
      </c>
      <c r="K1086" s="1">
        <v>9.35</v>
      </c>
      <c r="L1086" s="1">
        <v>29.43</v>
      </c>
      <c r="M1086" s="1">
        <v>23.11</v>
      </c>
      <c r="N1086" s="1">
        <v>7.61</v>
      </c>
      <c r="O1086" s="1">
        <v>34.43</v>
      </c>
      <c r="P1086" s="1">
        <v>39.78</v>
      </c>
      <c r="Q1086" s="1">
        <v>7473</v>
      </c>
      <c r="R1086" s="1">
        <v>77</v>
      </c>
      <c r="S1086" s="1">
        <v>66.099999999999994</v>
      </c>
    </row>
    <row r="1087" spans="1:19" ht="15">
      <c r="A1087" s="1">
        <v>61</v>
      </c>
      <c r="B1087" s="1" t="s">
        <v>88</v>
      </c>
      <c r="C1087" s="1" t="s">
        <v>78</v>
      </c>
      <c r="D1087" s="1">
        <v>2022</v>
      </c>
      <c r="E1087" s="1" t="s">
        <v>23</v>
      </c>
      <c r="F1087" s="1">
        <v>6086878</v>
      </c>
      <c r="G1087" s="1">
        <v>3160984</v>
      </c>
      <c r="H1087" s="1">
        <v>2925894</v>
      </c>
      <c r="I1087" s="1">
        <v>550320</v>
      </c>
      <c r="J1087" s="1">
        <v>28897</v>
      </c>
      <c r="K1087" s="1">
        <v>9.0399999999999991</v>
      </c>
      <c r="L1087" s="1">
        <v>23.52</v>
      </c>
      <c r="M1087" s="1">
        <v>30.24</v>
      </c>
      <c r="N1087" s="1">
        <v>7.29</v>
      </c>
      <c r="O1087" s="1">
        <v>32.1</v>
      </c>
      <c r="P1087" s="1">
        <v>20.65</v>
      </c>
      <c r="Q1087" s="1">
        <v>9461.92</v>
      </c>
      <c r="R1087" s="1">
        <v>74</v>
      </c>
      <c r="S1087" s="1">
        <v>73.099999999999994</v>
      </c>
    </row>
    <row r="1088" spans="1:19" ht="15">
      <c r="A1088" s="1">
        <v>61</v>
      </c>
      <c r="B1088" s="1" t="s">
        <v>88</v>
      </c>
      <c r="C1088" s="1" t="s">
        <v>78</v>
      </c>
      <c r="D1088" s="1">
        <v>2023</v>
      </c>
      <c r="E1088" s="1" t="s">
        <v>21</v>
      </c>
      <c r="F1088" s="1">
        <v>4183622</v>
      </c>
      <c r="G1088" s="1">
        <v>2137527</v>
      </c>
      <c r="H1088" s="1">
        <v>2046095</v>
      </c>
      <c r="I1088" s="1">
        <v>342933</v>
      </c>
      <c r="J1088" s="1">
        <v>15924</v>
      </c>
      <c r="K1088" s="1">
        <v>8.1999999999999993</v>
      </c>
      <c r="L1088" s="1">
        <v>21.92</v>
      </c>
      <c r="M1088" s="1">
        <v>33.43</v>
      </c>
      <c r="N1088" s="1">
        <v>9.32</v>
      </c>
      <c r="O1088" s="1">
        <v>29.68</v>
      </c>
      <c r="P1088" s="1">
        <v>36.979999999999997</v>
      </c>
      <c r="Q1088" s="1">
        <v>8449.0400000000009</v>
      </c>
      <c r="R1088" s="1">
        <v>49</v>
      </c>
      <c r="S1088" s="1">
        <v>65.900000000000006</v>
      </c>
    </row>
    <row r="1089" spans="1:19" ht="15">
      <c r="A1089" s="1">
        <v>61</v>
      </c>
      <c r="B1089" s="1" t="s">
        <v>88</v>
      </c>
      <c r="C1089" s="1" t="s">
        <v>78</v>
      </c>
      <c r="D1089" s="1">
        <v>2023</v>
      </c>
      <c r="E1089" s="1" t="s">
        <v>22</v>
      </c>
      <c r="F1089" s="1">
        <v>171765936</v>
      </c>
      <c r="G1089" s="1">
        <v>83816078</v>
      </c>
      <c r="H1089" s="1">
        <v>87949858</v>
      </c>
      <c r="I1089" s="1">
        <v>9820600</v>
      </c>
      <c r="J1089" s="1">
        <v>764464</v>
      </c>
      <c r="K1089" s="1">
        <v>5.72</v>
      </c>
      <c r="L1089" s="1">
        <v>20.75</v>
      </c>
      <c r="M1089" s="1">
        <v>31.02</v>
      </c>
      <c r="N1089" s="1">
        <v>10.3</v>
      </c>
      <c r="O1089" s="1">
        <v>30.58</v>
      </c>
      <c r="P1089" s="1">
        <v>20.170000000000002</v>
      </c>
      <c r="Q1089" s="1">
        <v>8273.8700000000008</v>
      </c>
      <c r="R1089" s="1">
        <v>53</v>
      </c>
      <c r="S1089" s="1">
        <v>61.7</v>
      </c>
    </row>
    <row r="1090" spans="1:19" ht="15">
      <c r="A1090" s="1">
        <v>61</v>
      </c>
      <c r="B1090" s="1" t="s">
        <v>88</v>
      </c>
      <c r="C1090" s="1" t="s">
        <v>78</v>
      </c>
      <c r="D1090" s="1">
        <v>2023</v>
      </c>
      <c r="E1090" s="1" t="s">
        <v>23</v>
      </c>
      <c r="F1090" s="1">
        <v>178006679</v>
      </c>
      <c r="G1090" s="1">
        <v>90160602</v>
      </c>
      <c r="H1090" s="1">
        <v>87846077</v>
      </c>
      <c r="I1090" s="1">
        <v>11595508</v>
      </c>
      <c r="J1090" s="1">
        <v>740107</v>
      </c>
      <c r="K1090" s="1">
        <v>6.51</v>
      </c>
      <c r="L1090" s="1">
        <v>26.06</v>
      </c>
      <c r="M1090" s="1">
        <v>33.19</v>
      </c>
      <c r="N1090" s="1">
        <v>12.91</v>
      </c>
      <c r="O1090" s="1">
        <v>22.03</v>
      </c>
      <c r="P1090" s="1">
        <v>28.73</v>
      </c>
      <c r="Q1090" s="1">
        <v>3250.29</v>
      </c>
      <c r="R1090" s="1">
        <v>53</v>
      </c>
      <c r="S1090" s="1">
        <v>65.3</v>
      </c>
    </row>
    <row r="1091" spans="1:19" ht="15">
      <c r="A1091" s="1">
        <v>61</v>
      </c>
      <c r="B1091" s="1" t="s">
        <v>88</v>
      </c>
      <c r="C1091" s="1" t="s">
        <v>78</v>
      </c>
      <c r="D1091" s="1">
        <v>2024</v>
      </c>
      <c r="E1091" s="1" t="s">
        <v>21</v>
      </c>
      <c r="F1091" s="1">
        <v>165219763</v>
      </c>
      <c r="G1091" s="1">
        <v>84760761</v>
      </c>
      <c r="H1091" s="1">
        <v>80459002</v>
      </c>
      <c r="I1091" s="1">
        <v>8937089</v>
      </c>
      <c r="J1091" s="1">
        <v>616876</v>
      </c>
      <c r="K1091" s="1">
        <v>5.41</v>
      </c>
      <c r="L1091" s="1">
        <v>15.98</v>
      </c>
      <c r="M1091" s="1">
        <v>21.88</v>
      </c>
      <c r="N1091" s="1">
        <v>11.45</v>
      </c>
      <c r="O1091" s="1">
        <v>22.91</v>
      </c>
      <c r="P1091" s="1">
        <v>25.84</v>
      </c>
      <c r="Q1091" s="1">
        <v>5848.8</v>
      </c>
      <c r="R1091" s="1">
        <v>81</v>
      </c>
      <c r="S1091" s="1">
        <v>76.7</v>
      </c>
    </row>
    <row r="1092" spans="1:19" ht="15">
      <c r="A1092" s="1">
        <v>61</v>
      </c>
      <c r="B1092" s="1" t="s">
        <v>88</v>
      </c>
      <c r="C1092" s="1" t="s">
        <v>78</v>
      </c>
      <c r="D1092" s="1">
        <v>2024</v>
      </c>
      <c r="E1092" s="1" t="s">
        <v>22</v>
      </c>
      <c r="F1092" s="1">
        <v>50326610</v>
      </c>
      <c r="G1092" s="1">
        <v>24313421</v>
      </c>
      <c r="H1092" s="1">
        <v>26013189</v>
      </c>
      <c r="I1092" s="1">
        <v>2650953</v>
      </c>
      <c r="J1092" s="1">
        <v>89847</v>
      </c>
      <c r="K1092" s="1">
        <v>5.27</v>
      </c>
      <c r="L1092" s="1">
        <v>15.03</v>
      </c>
      <c r="M1092" s="1">
        <v>32.409999999999997</v>
      </c>
      <c r="N1092" s="1">
        <v>11.07</v>
      </c>
      <c r="O1092" s="1">
        <v>29.21</v>
      </c>
      <c r="P1092" s="1">
        <v>34.31</v>
      </c>
      <c r="Q1092" s="1">
        <v>11330.28</v>
      </c>
      <c r="R1092" s="1">
        <v>65</v>
      </c>
      <c r="S1092" s="1">
        <v>79.900000000000006</v>
      </c>
    </row>
    <row r="1093" spans="1:19" ht="15">
      <c r="A1093" s="1">
        <v>61</v>
      </c>
      <c r="B1093" s="1" t="s">
        <v>88</v>
      </c>
      <c r="C1093" s="1" t="s">
        <v>78</v>
      </c>
      <c r="D1093" s="1">
        <v>2024</v>
      </c>
      <c r="E1093" s="1" t="s">
        <v>23</v>
      </c>
      <c r="F1093" s="1">
        <v>139661438</v>
      </c>
      <c r="G1093" s="1">
        <v>69815479</v>
      </c>
      <c r="H1093" s="1">
        <v>69845959</v>
      </c>
      <c r="I1093" s="1">
        <v>9819763</v>
      </c>
      <c r="J1093" s="1">
        <v>648177</v>
      </c>
      <c r="K1093" s="1">
        <v>7.03</v>
      </c>
      <c r="L1093" s="1">
        <v>24.74</v>
      </c>
      <c r="M1093" s="1">
        <v>34.08</v>
      </c>
      <c r="N1093" s="1">
        <v>8.23</v>
      </c>
      <c r="O1093" s="1">
        <v>33.83</v>
      </c>
      <c r="P1093" s="1">
        <v>35.67</v>
      </c>
      <c r="Q1093" s="1">
        <v>10960.61</v>
      </c>
      <c r="R1093" s="1">
        <v>43</v>
      </c>
      <c r="S1093" s="1">
        <v>68.099999999999994</v>
      </c>
    </row>
    <row r="1094" spans="1:19" ht="15">
      <c r="A1094" s="1">
        <v>61</v>
      </c>
      <c r="B1094" s="1" t="s">
        <v>88</v>
      </c>
      <c r="C1094" s="1" t="s">
        <v>78</v>
      </c>
      <c r="D1094" s="1">
        <v>2025</v>
      </c>
      <c r="E1094" s="1" t="s">
        <v>21</v>
      </c>
      <c r="F1094" s="1">
        <v>65128799</v>
      </c>
      <c r="G1094" s="1">
        <v>33160584</v>
      </c>
      <c r="H1094" s="1">
        <v>31968215</v>
      </c>
      <c r="I1094" s="1">
        <v>6086391</v>
      </c>
      <c r="J1094" s="1">
        <v>270347</v>
      </c>
      <c r="K1094" s="1">
        <v>9.35</v>
      </c>
      <c r="L1094" s="1">
        <v>17.829999999999998</v>
      </c>
      <c r="M1094" s="1">
        <v>31.84</v>
      </c>
      <c r="N1094" s="1">
        <v>9.18</v>
      </c>
      <c r="O1094" s="1">
        <v>24.6</v>
      </c>
      <c r="P1094" s="1">
        <v>32.450000000000003</v>
      </c>
      <c r="Q1094" s="1">
        <v>5283.8</v>
      </c>
      <c r="R1094" s="1">
        <v>53</v>
      </c>
      <c r="S1094" s="1">
        <v>61.8</v>
      </c>
    </row>
    <row r="1095" spans="1:19" ht="15">
      <c r="A1095" s="1">
        <v>61</v>
      </c>
      <c r="B1095" s="1" t="s">
        <v>88</v>
      </c>
      <c r="C1095" s="1" t="s">
        <v>78</v>
      </c>
      <c r="D1095" s="1">
        <v>2025</v>
      </c>
      <c r="E1095" s="1" t="s">
        <v>22</v>
      </c>
      <c r="F1095" s="1">
        <v>92415344</v>
      </c>
      <c r="G1095" s="1">
        <v>47312553</v>
      </c>
      <c r="H1095" s="1">
        <v>45102791</v>
      </c>
      <c r="I1095" s="1">
        <v>7505583</v>
      </c>
      <c r="J1095" s="1">
        <v>379257</v>
      </c>
      <c r="K1095" s="1">
        <v>8.1199999999999992</v>
      </c>
      <c r="L1095" s="1">
        <v>21.12</v>
      </c>
      <c r="M1095" s="1">
        <v>29.33</v>
      </c>
      <c r="N1095" s="1">
        <v>10.81</v>
      </c>
      <c r="O1095" s="1">
        <v>38.17</v>
      </c>
      <c r="P1095" s="1">
        <v>17.86</v>
      </c>
      <c r="Q1095" s="1">
        <v>11592.76</v>
      </c>
      <c r="R1095" s="1">
        <v>41</v>
      </c>
      <c r="S1095" s="1">
        <v>68.400000000000006</v>
      </c>
    </row>
    <row r="1096" spans="1:19" ht="15">
      <c r="A1096" s="1">
        <v>61</v>
      </c>
      <c r="B1096" s="1" t="s">
        <v>88</v>
      </c>
      <c r="C1096" s="1" t="s">
        <v>78</v>
      </c>
      <c r="D1096" s="1">
        <v>2025</v>
      </c>
      <c r="E1096" s="1" t="s">
        <v>23</v>
      </c>
      <c r="F1096" s="1">
        <v>143274021</v>
      </c>
      <c r="G1096" s="1">
        <v>72305653</v>
      </c>
      <c r="H1096" s="1">
        <v>70968368</v>
      </c>
      <c r="I1096" s="1">
        <v>7857894</v>
      </c>
      <c r="J1096" s="1">
        <v>433502</v>
      </c>
      <c r="K1096" s="1">
        <v>5.48</v>
      </c>
      <c r="L1096" s="1">
        <v>18.670000000000002</v>
      </c>
      <c r="M1096" s="1">
        <v>13.92</v>
      </c>
      <c r="N1096" s="1">
        <v>6.03</v>
      </c>
      <c r="O1096" s="1">
        <v>31.46</v>
      </c>
      <c r="P1096" s="1">
        <v>23.13</v>
      </c>
      <c r="Q1096" s="1">
        <v>6435.31</v>
      </c>
      <c r="R1096" s="1">
        <v>71</v>
      </c>
      <c r="S1096" s="1">
        <v>74.599999999999994</v>
      </c>
    </row>
    <row r="1097" spans="1:19" ht="15">
      <c r="A1097" s="1">
        <v>61</v>
      </c>
      <c r="B1097" s="1" t="s">
        <v>88</v>
      </c>
      <c r="C1097" s="1" t="s">
        <v>78</v>
      </c>
      <c r="D1097" s="1">
        <v>2026</v>
      </c>
      <c r="E1097" s="1" t="s">
        <v>21</v>
      </c>
      <c r="F1097" s="1">
        <v>143608014</v>
      </c>
      <c r="G1097" s="1">
        <v>70190073</v>
      </c>
      <c r="H1097" s="1">
        <v>73417941</v>
      </c>
      <c r="I1097" s="1">
        <v>10626748</v>
      </c>
      <c r="J1097" s="1">
        <v>417197</v>
      </c>
      <c r="K1097" s="1">
        <v>7.4</v>
      </c>
      <c r="L1097" s="1">
        <v>26.06</v>
      </c>
      <c r="M1097" s="1">
        <v>33.97</v>
      </c>
      <c r="N1097" s="1">
        <v>14.36</v>
      </c>
      <c r="O1097" s="1">
        <v>28.29</v>
      </c>
      <c r="P1097" s="1">
        <v>16.420000000000002</v>
      </c>
      <c r="Q1097" s="1">
        <v>8155.82</v>
      </c>
      <c r="R1097" s="1">
        <v>72</v>
      </c>
      <c r="S1097" s="1">
        <v>70.2</v>
      </c>
    </row>
    <row r="1098" spans="1:19" ht="15">
      <c r="A1098" s="1">
        <v>61</v>
      </c>
      <c r="B1098" s="1" t="s">
        <v>88</v>
      </c>
      <c r="C1098" s="1" t="s">
        <v>78</v>
      </c>
      <c r="D1098" s="1">
        <v>2026</v>
      </c>
      <c r="E1098" s="1" t="s">
        <v>22</v>
      </c>
      <c r="F1098" s="1">
        <v>104906110</v>
      </c>
      <c r="G1098" s="1">
        <v>52313629</v>
      </c>
      <c r="H1098" s="1">
        <v>52592481</v>
      </c>
      <c r="I1098" s="1">
        <v>9507064</v>
      </c>
      <c r="J1098" s="1">
        <v>349886</v>
      </c>
      <c r="K1098" s="1">
        <v>9.06</v>
      </c>
      <c r="L1098" s="1">
        <v>29.54</v>
      </c>
      <c r="M1098" s="1">
        <v>26.86</v>
      </c>
      <c r="N1098" s="1">
        <v>7.87</v>
      </c>
      <c r="O1098" s="1">
        <v>22.54</v>
      </c>
      <c r="P1098" s="1">
        <v>16.170000000000002</v>
      </c>
      <c r="Q1098" s="1">
        <v>8733.9500000000007</v>
      </c>
      <c r="R1098" s="1">
        <v>41</v>
      </c>
      <c r="S1098" s="1">
        <v>65.099999999999994</v>
      </c>
    </row>
    <row r="1099" spans="1:19" ht="15">
      <c r="A1099" s="1">
        <v>61</v>
      </c>
      <c r="B1099" s="1" t="s">
        <v>88</v>
      </c>
      <c r="C1099" s="1" t="s">
        <v>78</v>
      </c>
      <c r="D1099" s="1">
        <v>2026</v>
      </c>
      <c r="E1099" s="1" t="s">
        <v>23</v>
      </c>
      <c r="F1099" s="1">
        <v>9732578</v>
      </c>
      <c r="G1099" s="1">
        <v>4728981</v>
      </c>
      <c r="H1099" s="1">
        <v>5003597</v>
      </c>
      <c r="I1099" s="1">
        <v>939273</v>
      </c>
      <c r="J1099" s="1">
        <v>29886</v>
      </c>
      <c r="K1099" s="1">
        <v>9.65</v>
      </c>
      <c r="L1099" s="1">
        <v>17.89</v>
      </c>
      <c r="M1099" s="1">
        <v>18.79</v>
      </c>
      <c r="N1099" s="1">
        <v>5.93</v>
      </c>
      <c r="O1099" s="1">
        <v>32.89</v>
      </c>
      <c r="P1099" s="1">
        <v>37.659999999999997</v>
      </c>
      <c r="Q1099" s="1">
        <v>3208.34</v>
      </c>
      <c r="R1099" s="1">
        <v>62</v>
      </c>
      <c r="S1099" s="1">
        <v>61.3</v>
      </c>
    </row>
    <row r="1100" spans="1:19" ht="15">
      <c r="A1100" s="1">
        <v>62</v>
      </c>
      <c r="B1100" s="1" t="s">
        <v>89</v>
      </c>
      <c r="C1100" s="1" t="s">
        <v>78</v>
      </c>
      <c r="D1100" s="1">
        <v>2021</v>
      </c>
      <c r="E1100" s="1" t="s">
        <v>21</v>
      </c>
      <c r="F1100" s="1">
        <v>39316657</v>
      </c>
      <c r="G1100" s="1">
        <v>19382361</v>
      </c>
      <c r="H1100" s="1">
        <v>19934296</v>
      </c>
      <c r="I1100" s="1">
        <v>3515026</v>
      </c>
      <c r="J1100" s="1">
        <v>214918</v>
      </c>
      <c r="K1100" s="1">
        <v>8.94</v>
      </c>
      <c r="L1100" s="1">
        <v>22.95</v>
      </c>
      <c r="M1100" s="1">
        <v>34.299999999999997</v>
      </c>
      <c r="N1100" s="1">
        <v>14.26</v>
      </c>
      <c r="O1100" s="1">
        <v>35.799999999999997</v>
      </c>
      <c r="P1100" s="1">
        <v>27.42</v>
      </c>
      <c r="Q1100" s="1">
        <v>4837.3999999999996</v>
      </c>
      <c r="R1100" s="1">
        <v>46</v>
      </c>
      <c r="S1100" s="1">
        <v>62.9</v>
      </c>
    </row>
    <row r="1101" spans="1:19" ht="15">
      <c r="A1101" s="1">
        <v>62</v>
      </c>
      <c r="B1101" s="1" t="s">
        <v>89</v>
      </c>
      <c r="C1101" s="1" t="s">
        <v>78</v>
      </c>
      <c r="D1101" s="1">
        <v>2021</v>
      </c>
      <c r="E1101" s="1" t="s">
        <v>22</v>
      </c>
      <c r="F1101" s="1">
        <v>158896312</v>
      </c>
      <c r="G1101" s="1">
        <v>78216287</v>
      </c>
      <c r="H1101" s="1">
        <v>80680025</v>
      </c>
      <c r="I1101" s="1">
        <v>11302090</v>
      </c>
      <c r="J1101" s="1">
        <v>366472</v>
      </c>
      <c r="K1101" s="1">
        <v>7.11</v>
      </c>
      <c r="L1101" s="1">
        <v>10.050000000000001</v>
      </c>
      <c r="M1101" s="1">
        <v>26.51</v>
      </c>
      <c r="N1101" s="1">
        <v>9.7899999999999991</v>
      </c>
      <c r="O1101" s="1">
        <v>30.25</v>
      </c>
      <c r="P1101" s="1">
        <v>35.479999999999997</v>
      </c>
      <c r="Q1101" s="1">
        <v>10718.2</v>
      </c>
      <c r="R1101" s="1">
        <v>46</v>
      </c>
      <c r="S1101" s="1">
        <v>73.8</v>
      </c>
    </row>
    <row r="1102" spans="1:19" ht="15">
      <c r="A1102" s="1">
        <v>62</v>
      </c>
      <c r="B1102" s="1" t="s">
        <v>89</v>
      </c>
      <c r="C1102" s="1" t="s">
        <v>78</v>
      </c>
      <c r="D1102" s="1">
        <v>2021</v>
      </c>
      <c r="E1102" s="1" t="s">
        <v>23</v>
      </c>
      <c r="F1102" s="1">
        <v>155912149</v>
      </c>
      <c r="G1102" s="1">
        <v>75331717</v>
      </c>
      <c r="H1102" s="1">
        <v>80580432</v>
      </c>
      <c r="I1102" s="1">
        <v>10861042</v>
      </c>
      <c r="J1102" s="1">
        <v>718491</v>
      </c>
      <c r="K1102" s="1">
        <v>6.97</v>
      </c>
      <c r="L1102" s="1">
        <v>15.4</v>
      </c>
      <c r="M1102" s="1">
        <v>29.71</v>
      </c>
      <c r="N1102" s="1">
        <v>9.9499999999999993</v>
      </c>
      <c r="O1102" s="1">
        <v>33.72</v>
      </c>
      <c r="P1102" s="1">
        <v>15.51</v>
      </c>
      <c r="Q1102" s="1">
        <v>10658.33</v>
      </c>
      <c r="R1102" s="1">
        <v>41</v>
      </c>
      <c r="S1102" s="1">
        <v>74</v>
      </c>
    </row>
    <row r="1103" spans="1:19" ht="15">
      <c r="A1103" s="1">
        <v>62</v>
      </c>
      <c r="B1103" s="1" t="s">
        <v>89</v>
      </c>
      <c r="C1103" s="1" t="s">
        <v>78</v>
      </c>
      <c r="D1103" s="1">
        <v>2022</v>
      </c>
      <c r="E1103" s="1" t="s">
        <v>21</v>
      </c>
      <c r="F1103" s="1">
        <v>118203938</v>
      </c>
      <c r="G1103" s="1">
        <v>60675373</v>
      </c>
      <c r="H1103" s="1">
        <v>57528565</v>
      </c>
      <c r="I1103" s="1">
        <v>6885424</v>
      </c>
      <c r="J1103" s="1">
        <v>311117</v>
      </c>
      <c r="K1103" s="1">
        <v>5.83</v>
      </c>
      <c r="L1103" s="1">
        <v>20.37</v>
      </c>
      <c r="M1103" s="1">
        <v>10.46</v>
      </c>
      <c r="N1103" s="1">
        <v>9.0399999999999991</v>
      </c>
      <c r="O1103" s="1">
        <v>37.83</v>
      </c>
      <c r="P1103" s="1">
        <v>33.54</v>
      </c>
      <c r="Q1103" s="1">
        <v>7341.14</v>
      </c>
      <c r="R1103" s="1">
        <v>65</v>
      </c>
      <c r="S1103" s="1">
        <v>79.2</v>
      </c>
    </row>
    <row r="1104" spans="1:19" ht="15">
      <c r="A1104" s="1">
        <v>62</v>
      </c>
      <c r="B1104" s="1" t="s">
        <v>89</v>
      </c>
      <c r="C1104" s="1" t="s">
        <v>78</v>
      </c>
      <c r="D1104" s="1">
        <v>2022</v>
      </c>
      <c r="E1104" s="1" t="s">
        <v>22</v>
      </c>
      <c r="F1104" s="1">
        <v>174861322</v>
      </c>
      <c r="G1104" s="1">
        <v>88397309</v>
      </c>
      <c r="H1104" s="1">
        <v>86464013</v>
      </c>
      <c r="I1104" s="1">
        <v>13546018</v>
      </c>
      <c r="J1104" s="1">
        <v>475151</v>
      </c>
      <c r="K1104" s="1">
        <v>7.75</v>
      </c>
      <c r="L1104" s="1">
        <v>19.82</v>
      </c>
      <c r="M1104" s="1">
        <v>31.91</v>
      </c>
      <c r="N1104" s="1">
        <v>11.96</v>
      </c>
      <c r="O1104" s="1">
        <v>27.72</v>
      </c>
      <c r="P1104" s="1">
        <v>36.26</v>
      </c>
      <c r="Q1104" s="1">
        <v>6807.11</v>
      </c>
      <c r="R1104" s="1">
        <v>71</v>
      </c>
      <c r="S1104" s="1">
        <v>60.2</v>
      </c>
    </row>
    <row r="1105" spans="1:19" ht="15">
      <c r="A1105" s="1">
        <v>62</v>
      </c>
      <c r="B1105" s="1" t="s">
        <v>89</v>
      </c>
      <c r="C1105" s="1" t="s">
        <v>78</v>
      </c>
      <c r="D1105" s="1">
        <v>2022</v>
      </c>
      <c r="E1105" s="1" t="s">
        <v>23</v>
      </c>
      <c r="F1105" s="1">
        <v>115411080</v>
      </c>
      <c r="G1105" s="1">
        <v>57502440</v>
      </c>
      <c r="H1105" s="1">
        <v>57908640</v>
      </c>
      <c r="I1105" s="1">
        <v>10572948</v>
      </c>
      <c r="J1105" s="1">
        <v>798558</v>
      </c>
      <c r="K1105" s="1">
        <v>9.16</v>
      </c>
      <c r="L1105" s="1">
        <v>12.73</v>
      </c>
      <c r="M1105" s="1">
        <v>29.51</v>
      </c>
      <c r="N1105" s="1">
        <v>11.22</v>
      </c>
      <c r="O1105" s="1">
        <v>37.630000000000003</v>
      </c>
      <c r="P1105" s="1">
        <v>23.01</v>
      </c>
      <c r="Q1105" s="1">
        <v>2052.41</v>
      </c>
      <c r="R1105" s="1">
        <v>83</v>
      </c>
      <c r="S1105" s="1">
        <v>76.7</v>
      </c>
    </row>
    <row r="1106" spans="1:19" ht="15">
      <c r="A1106" s="1">
        <v>62</v>
      </c>
      <c r="B1106" s="1" t="s">
        <v>89</v>
      </c>
      <c r="C1106" s="1" t="s">
        <v>78</v>
      </c>
      <c r="D1106" s="1">
        <v>2023</v>
      </c>
      <c r="E1106" s="1" t="s">
        <v>21</v>
      </c>
      <c r="F1106" s="1">
        <v>32513540</v>
      </c>
      <c r="G1106" s="1">
        <v>16519792</v>
      </c>
      <c r="H1106" s="1">
        <v>15993748</v>
      </c>
      <c r="I1106" s="1">
        <v>2993532</v>
      </c>
      <c r="J1106" s="1">
        <v>125015</v>
      </c>
      <c r="K1106" s="1">
        <v>9.2100000000000009</v>
      </c>
      <c r="L1106" s="1">
        <v>14.37</v>
      </c>
      <c r="M1106" s="1">
        <v>12.89</v>
      </c>
      <c r="N1106" s="1">
        <v>13.14</v>
      </c>
      <c r="O1106" s="1">
        <v>26.59</v>
      </c>
      <c r="P1106" s="1">
        <v>18.72</v>
      </c>
      <c r="Q1106" s="1">
        <v>7427.59</v>
      </c>
      <c r="R1106" s="1">
        <v>41</v>
      </c>
      <c r="S1106" s="1">
        <v>60.2</v>
      </c>
    </row>
    <row r="1107" spans="1:19" ht="15">
      <c r="A1107" s="1">
        <v>62</v>
      </c>
      <c r="B1107" s="1" t="s">
        <v>89</v>
      </c>
      <c r="C1107" s="1" t="s">
        <v>78</v>
      </c>
      <c r="D1107" s="1">
        <v>2023</v>
      </c>
      <c r="E1107" s="1" t="s">
        <v>22</v>
      </c>
      <c r="F1107" s="1">
        <v>193027535</v>
      </c>
      <c r="G1107" s="1">
        <v>93716108</v>
      </c>
      <c r="H1107" s="1">
        <v>99311427</v>
      </c>
      <c r="I1107" s="1">
        <v>16107886</v>
      </c>
      <c r="J1107" s="1">
        <v>1126628</v>
      </c>
      <c r="K1107" s="1">
        <v>8.34</v>
      </c>
      <c r="L1107" s="1">
        <v>13.57</v>
      </c>
      <c r="M1107" s="1">
        <v>13.5</v>
      </c>
      <c r="N1107" s="1">
        <v>12.51</v>
      </c>
      <c r="O1107" s="1">
        <v>37.590000000000003</v>
      </c>
      <c r="P1107" s="1">
        <v>35.28</v>
      </c>
      <c r="Q1107" s="1">
        <v>4592.29</v>
      </c>
      <c r="R1107" s="1">
        <v>55</v>
      </c>
      <c r="S1107" s="1">
        <v>62.9</v>
      </c>
    </row>
    <row r="1108" spans="1:19" ht="15">
      <c r="A1108" s="1">
        <v>62</v>
      </c>
      <c r="B1108" s="1" t="s">
        <v>89</v>
      </c>
      <c r="C1108" s="1" t="s">
        <v>78</v>
      </c>
      <c r="D1108" s="1">
        <v>2023</v>
      </c>
      <c r="E1108" s="1" t="s">
        <v>23</v>
      </c>
      <c r="F1108" s="1">
        <v>140592769</v>
      </c>
      <c r="G1108" s="1">
        <v>67697418</v>
      </c>
      <c r="H1108" s="1">
        <v>72895351</v>
      </c>
      <c r="I1108" s="1">
        <v>8293936</v>
      </c>
      <c r="J1108" s="1">
        <v>312032</v>
      </c>
      <c r="K1108" s="1">
        <v>5.9</v>
      </c>
      <c r="L1108" s="1">
        <v>22.33</v>
      </c>
      <c r="M1108" s="1">
        <v>11.26</v>
      </c>
      <c r="N1108" s="1">
        <v>13.09</v>
      </c>
      <c r="O1108" s="1">
        <v>32.53</v>
      </c>
      <c r="P1108" s="1">
        <v>37.99</v>
      </c>
      <c r="Q1108" s="1">
        <v>10624.47</v>
      </c>
      <c r="R1108" s="1">
        <v>41</v>
      </c>
      <c r="S1108" s="1">
        <v>71.400000000000006</v>
      </c>
    </row>
    <row r="1109" spans="1:19" ht="15">
      <c r="A1109" s="1">
        <v>62</v>
      </c>
      <c r="B1109" s="1" t="s">
        <v>89</v>
      </c>
      <c r="C1109" s="1" t="s">
        <v>78</v>
      </c>
      <c r="D1109" s="1">
        <v>2024</v>
      </c>
      <c r="E1109" s="1" t="s">
        <v>21</v>
      </c>
      <c r="F1109" s="1">
        <v>45389489</v>
      </c>
      <c r="G1109" s="1">
        <v>23470423</v>
      </c>
      <c r="H1109" s="1">
        <v>21919066</v>
      </c>
      <c r="I1109" s="1">
        <v>2630073</v>
      </c>
      <c r="J1109" s="1">
        <v>121705</v>
      </c>
      <c r="K1109" s="1">
        <v>5.79</v>
      </c>
      <c r="L1109" s="1">
        <v>10.32</v>
      </c>
      <c r="M1109" s="1">
        <v>33.35</v>
      </c>
      <c r="N1109" s="1">
        <v>8.3800000000000008</v>
      </c>
      <c r="O1109" s="1">
        <v>26.37</v>
      </c>
      <c r="P1109" s="1">
        <v>38.75</v>
      </c>
      <c r="Q1109" s="1">
        <v>808.22</v>
      </c>
      <c r="R1109" s="1">
        <v>64</v>
      </c>
      <c r="S1109" s="1">
        <v>66.5</v>
      </c>
    </row>
    <row r="1110" spans="1:19" ht="15">
      <c r="A1110" s="1">
        <v>62</v>
      </c>
      <c r="B1110" s="1" t="s">
        <v>89</v>
      </c>
      <c r="C1110" s="1" t="s">
        <v>78</v>
      </c>
      <c r="D1110" s="1">
        <v>2024</v>
      </c>
      <c r="E1110" s="1" t="s">
        <v>22</v>
      </c>
      <c r="F1110" s="1">
        <v>101527609</v>
      </c>
      <c r="G1110" s="1">
        <v>50560174</v>
      </c>
      <c r="H1110" s="1">
        <v>50967435</v>
      </c>
      <c r="I1110" s="1">
        <v>9604602</v>
      </c>
      <c r="J1110" s="1">
        <v>343553</v>
      </c>
      <c r="K1110" s="1">
        <v>9.4600000000000009</v>
      </c>
      <c r="L1110" s="1">
        <v>11.64</v>
      </c>
      <c r="M1110" s="1">
        <v>11.32</v>
      </c>
      <c r="N1110" s="1">
        <v>6.6</v>
      </c>
      <c r="O1110" s="1">
        <v>23.41</v>
      </c>
      <c r="P1110" s="1">
        <v>36.58</v>
      </c>
      <c r="Q1110" s="1">
        <v>5364.8</v>
      </c>
      <c r="R1110" s="1">
        <v>79</v>
      </c>
      <c r="S1110" s="1">
        <v>82.6</v>
      </c>
    </row>
    <row r="1111" spans="1:19" ht="15">
      <c r="A1111" s="1">
        <v>62</v>
      </c>
      <c r="B1111" s="1" t="s">
        <v>89</v>
      </c>
      <c r="C1111" s="1" t="s">
        <v>78</v>
      </c>
      <c r="D1111" s="1">
        <v>2024</v>
      </c>
      <c r="E1111" s="1" t="s">
        <v>23</v>
      </c>
      <c r="F1111" s="1">
        <v>72150267</v>
      </c>
      <c r="G1111" s="1">
        <v>35471888</v>
      </c>
      <c r="H1111" s="1">
        <v>36678379</v>
      </c>
      <c r="I1111" s="1">
        <v>5862890</v>
      </c>
      <c r="J1111" s="1">
        <v>373976</v>
      </c>
      <c r="K1111" s="1">
        <v>8.1300000000000008</v>
      </c>
      <c r="L1111" s="1">
        <v>25.67</v>
      </c>
      <c r="M1111" s="1">
        <v>19.72</v>
      </c>
      <c r="N1111" s="1">
        <v>13.52</v>
      </c>
      <c r="O1111" s="1">
        <v>30.15</v>
      </c>
      <c r="P1111" s="1">
        <v>17.559999999999999</v>
      </c>
      <c r="Q1111" s="1">
        <v>10600.38</v>
      </c>
      <c r="R1111" s="1">
        <v>64</v>
      </c>
      <c r="S1111" s="1">
        <v>69.3</v>
      </c>
    </row>
    <row r="1112" spans="1:19" ht="15">
      <c r="A1112" s="1">
        <v>62</v>
      </c>
      <c r="B1112" s="1" t="s">
        <v>89</v>
      </c>
      <c r="C1112" s="1" t="s">
        <v>78</v>
      </c>
      <c r="D1112" s="1">
        <v>2025</v>
      </c>
      <c r="E1112" s="1" t="s">
        <v>21</v>
      </c>
      <c r="F1112" s="1">
        <v>92141124</v>
      </c>
      <c r="G1112" s="1">
        <v>47261119</v>
      </c>
      <c r="H1112" s="1">
        <v>44880005</v>
      </c>
      <c r="I1112" s="1">
        <v>7089305</v>
      </c>
      <c r="J1112" s="1">
        <v>411043</v>
      </c>
      <c r="K1112" s="1">
        <v>7.69</v>
      </c>
      <c r="L1112" s="1">
        <v>27.72</v>
      </c>
      <c r="M1112" s="1">
        <v>24.85</v>
      </c>
      <c r="N1112" s="1">
        <v>10.28</v>
      </c>
      <c r="O1112" s="1">
        <v>22.42</v>
      </c>
      <c r="P1112" s="1">
        <v>22.24</v>
      </c>
      <c r="Q1112" s="1">
        <v>11121.33</v>
      </c>
      <c r="R1112" s="1">
        <v>69</v>
      </c>
      <c r="S1112" s="1">
        <v>64.7</v>
      </c>
    </row>
    <row r="1113" spans="1:19" ht="15">
      <c r="A1113" s="1">
        <v>62</v>
      </c>
      <c r="B1113" s="1" t="s">
        <v>89</v>
      </c>
      <c r="C1113" s="1" t="s">
        <v>78</v>
      </c>
      <c r="D1113" s="1">
        <v>2025</v>
      </c>
      <c r="E1113" s="1" t="s">
        <v>22</v>
      </c>
      <c r="F1113" s="1">
        <v>45412994</v>
      </c>
      <c r="G1113" s="1">
        <v>21933107</v>
      </c>
      <c r="H1113" s="1">
        <v>23479887</v>
      </c>
      <c r="I1113" s="1">
        <v>3086022</v>
      </c>
      <c r="J1113" s="1">
        <v>207576</v>
      </c>
      <c r="K1113" s="1">
        <v>6.8</v>
      </c>
      <c r="L1113" s="1">
        <v>16.260000000000002</v>
      </c>
      <c r="M1113" s="1">
        <v>28.15</v>
      </c>
      <c r="N1113" s="1">
        <v>10.75</v>
      </c>
      <c r="O1113" s="1">
        <v>39.19</v>
      </c>
      <c r="P1113" s="1">
        <v>27.49</v>
      </c>
      <c r="Q1113" s="1">
        <v>693.8</v>
      </c>
      <c r="R1113" s="1">
        <v>75</v>
      </c>
      <c r="S1113" s="1">
        <v>61.6</v>
      </c>
    </row>
    <row r="1114" spans="1:19" ht="15">
      <c r="A1114" s="1">
        <v>62</v>
      </c>
      <c r="B1114" s="1" t="s">
        <v>89</v>
      </c>
      <c r="C1114" s="1" t="s">
        <v>78</v>
      </c>
      <c r="D1114" s="1">
        <v>2025</v>
      </c>
      <c r="E1114" s="1" t="s">
        <v>23</v>
      </c>
      <c r="F1114" s="1">
        <v>162044877</v>
      </c>
      <c r="G1114" s="1">
        <v>80664316</v>
      </c>
      <c r="H1114" s="1">
        <v>81380561</v>
      </c>
      <c r="I1114" s="1">
        <v>14672274</v>
      </c>
      <c r="J1114" s="1">
        <v>979797</v>
      </c>
      <c r="K1114" s="1">
        <v>9.0500000000000007</v>
      </c>
      <c r="L1114" s="1">
        <v>26.23</v>
      </c>
      <c r="M1114" s="1">
        <v>24.93</v>
      </c>
      <c r="N1114" s="1">
        <v>13.35</v>
      </c>
      <c r="O1114" s="1">
        <v>29.93</v>
      </c>
      <c r="P1114" s="1">
        <v>21.56</v>
      </c>
      <c r="Q1114" s="1">
        <v>4728.8100000000004</v>
      </c>
      <c r="R1114" s="1">
        <v>66</v>
      </c>
      <c r="S1114" s="1">
        <v>60.5</v>
      </c>
    </row>
    <row r="1115" spans="1:19" ht="15">
      <c r="A1115" s="1">
        <v>62</v>
      </c>
      <c r="B1115" s="1" t="s">
        <v>89</v>
      </c>
      <c r="C1115" s="1" t="s">
        <v>78</v>
      </c>
      <c r="D1115" s="1">
        <v>2026</v>
      </c>
      <c r="E1115" s="1" t="s">
        <v>21</v>
      </c>
      <c r="F1115" s="1">
        <v>9918126</v>
      </c>
      <c r="G1115" s="1">
        <v>4997596</v>
      </c>
      <c r="H1115" s="1">
        <v>4920530</v>
      </c>
      <c r="I1115" s="1">
        <v>911156</v>
      </c>
      <c r="J1115" s="1">
        <v>39102</v>
      </c>
      <c r="K1115" s="1">
        <v>9.19</v>
      </c>
      <c r="L1115" s="1">
        <v>16.89</v>
      </c>
      <c r="M1115" s="1">
        <v>20.010000000000002</v>
      </c>
      <c r="N1115" s="1">
        <v>6.28</v>
      </c>
      <c r="O1115" s="1">
        <v>35.08</v>
      </c>
      <c r="P1115" s="1">
        <v>24.68</v>
      </c>
      <c r="Q1115" s="1">
        <v>11025.37</v>
      </c>
      <c r="R1115" s="1">
        <v>58</v>
      </c>
      <c r="S1115" s="1">
        <v>63</v>
      </c>
    </row>
    <row r="1116" spans="1:19" ht="15">
      <c r="A1116" s="1">
        <v>62</v>
      </c>
      <c r="B1116" s="1" t="s">
        <v>89</v>
      </c>
      <c r="C1116" s="1" t="s">
        <v>78</v>
      </c>
      <c r="D1116" s="1">
        <v>2026</v>
      </c>
      <c r="E1116" s="1" t="s">
        <v>22</v>
      </c>
      <c r="F1116" s="1">
        <v>115850843</v>
      </c>
      <c r="G1116" s="1">
        <v>56004128</v>
      </c>
      <c r="H1116" s="1">
        <v>59846715</v>
      </c>
      <c r="I1116" s="1">
        <v>11037032</v>
      </c>
      <c r="J1116" s="1">
        <v>357634</v>
      </c>
      <c r="K1116" s="1">
        <v>9.5299999999999994</v>
      </c>
      <c r="L1116" s="1">
        <v>24.72</v>
      </c>
      <c r="M1116" s="1">
        <v>10.26</v>
      </c>
      <c r="N1116" s="1">
        <v>9.2799999999999994</v>
      </c>
      <c r="O1116" s="1">
        <v>24.21</v>
      </c>
      <c r="P1116" s="1">
        <v>19.920000000000002</v>
      </c>
      <c r="Q1116" s="1">
        <v>7712.77</v>
      </c>
      <c r="R1116" s="1">
        <v>84</v>
      </c>
      <c r="S1116" s="1">
        <v>73.099999999999994</v>
      </c>
    </row>
    <row r="1117" spans="1:19" ht="15">
      <c r="A1117" s="1">
        <v>62</v>
      </c>
      <c r="B1117" s="1" t="s">
        <v>89</v>
      </c>
      <c r="C1117" s="1" t="s">
        <v>78</v>
      </c>
      <c r="D1117" s="1">
        <v>2026</v>
      </c>
      <c r="E1117" s="1" t="s">
        <v>23</v>
      </c>
      <c r="F1117" s="1">
        <v>106638716</v>
      </c>
      <c r="G1117" s="1">
        <v>54135321</v>
      </c>
      <c r="H1117" s="1">
        <v>52503395</v>
      </c>
      <c r="I1117" s="1">
        <v>6847821</v>
      </c>
      <c r="J1117" s="1">
        <v>361848</v>
      </c>
      <c r="K1117" s="1">
        <v>6.42</v>
      </c>
      <c r="L1117" s="1">
        <v>18.690000000000001</v>
      </c>
      <c r="M1117" s="1">
        <v>29.21</v>
      </c>
      <c r="N1117" s="1">
        <v>9</v>
      </c>
      <c r="O1117" s="1">
        <v>22.9</v>
      </c>
      <c r="P1117" s="1">
        <v>22.87</v>
      </c>
      <c r="Q1117" s="1">
        <v>7102.16</v>
      </c>
      <c r="R1117" s="1">
        <v>59</v>
      </c>
      <c r="S1117" s="1">
        <v>61.8</v>
      </c>
    </row>
    <row r="1118" spans="1:19" ht="15">
      <c r="A1118" s="1">
        <v>63</v>
      </c>
      <c r="B1118" s="1" t="s">
        <v>90</v>
      </c>
      <c r="C1118" s="1" t="s">
        <v>78</v>
      </c>
      <c r="D1118" s="1">
        <v>2021</v>
      </c>
      <c r="E1118" s="1" t="s">
        <v>21</v>
      </c>
      <c r="F1118" s="1">
        <v>167274263</v>
      </c>
      <c r="G1118" s="1">
        <v>82958641</v>
      </c>
      <c r="H1118" s="1">
        <v>84315622</v>
      </c>
      <c r="I1118" s="1">
        <v>8522044</v>
      </c>
      <c r="J1118" s="1">
        <v>355738</v>
      </c>
      <c r="K1118" s="1">
        <v>5.09</v>
      </c>
      <c r="L1118" s="1">
        <v>15.46</v>
      </c>
      <c r="M1118" s="1">
        <v>31.69</v>
      </c>
      <c r="N1118" s="1">
        <v>8.1999999999999993</v>
      </c>
      <c r="O1118" s="1">
        <v>33.25</v>
      </c>
      <c r="P1118" s="1">
        <v>21.42</v>
      </c>
      <c r="Q1118" s="1">
        <v>7569.18</v>
      </c>
      <c r="R1118" s="1">
        <v>59</v>
      </c>
      <c r="S1118" s="1">
        <v>64.5</v>
      </c>
    </row>
    <row r="1119" spans="1:19" ht="15">
      <c r="A1119" s="1">
        <v>63</v>
      </c>
      <c r="B1119" s="1" t="s">
        <v>90</v>
      </c>
      <c r="C1119" s="1" t="s">
        <v>78</v>
      </c>
      <c r="D1119" s="1">
        <v>2021</v>
      </c>
      <c r="E1119" s="1" t="s">
        <v>22</v>
      </c>
      <c r="F1119" s="1">
        <v>19550342</v>
      </c>
      <c r="G1119" s="1">
        <v>9801370</v>
      </c>
      <c r="H1119" s="1">
        <v>9748972</v>
      </c>
      <c r="I1119" s="1">
        <v>1833517</v>
      </c>
      <c r="J1119" s="1">
        <v>135155</v>
      </c>
      <c r="K1119" s="1">
        <v>9.3800000000000008</v>
      </c>
      <c r="L1119" s="1">
        <v>28.13</v>
      </c>
      <c r="M1119" s="1">
        <v>12.81</v>
      </c>
      <c r="N1119" s="1">
        <v>6.79</v>
      </c>
      <c r="O1119" s="1">
        <v>20.61</v>
      </c>
      <c r="P1119" s="1">
        <v>18.93</v>
      </c>
      <c r="Q1119" s="1">
        <v>6528.67</v>
      </c>
      <c r="R1119" s="1">
        <v>60</v>
      </c>
      <c r="S1119" s="1">
        <v>69.8</v>
      </c>
    </row>
    <row r="1120" spans="1:19" ht="15">
      <c r="A1120" s="1">
        <v>63</v>
      </c>
      <c r="B1120" s="1" t="s">
        <v>90</v>
      </c>
      <c r="C1120" s="1" t="s">
        <v>78</v>
      </c>
      <c r="D1120" s="1">
        <v>2021</v>
      </c>
      <c r="E1120" s="1" t="s">
        <v>23</v>
      </c>
      <c r="F1120" s="1">
        <v>4448078</v>
      </c>
      <c r="G1120" s="1">
        <v>2258570</v>
      </c>
      <c r="H1120" s="1">
        <v>2189508</v>
      </c>
      <c r="I1120" s="1">
        <v>262749</v>
      </c>
      <c r="J1120" s="1">
        <v>9085</v>
      </c>
      <c r="K1120" s="1">
        <v>5.91</v>
      </c>
      <c r="L1120" s="1">
        <v>10.71</v>
      </c>
      <c r="M1120" s="1">
        <v>32.18</v>
      </c>
      <c r="N1120" s="1">
        <v>14.73</v>
      </c>
      <c r="O1120" s="1">
        <v>29.84</v>
      </c>
      <c r="P1120" s="1">
        <v>29.07</v>
      </c>
      <c r="Q1120" s="1">
        <v>6491.09</v>
      </c>
      <c r="R1120" s="1">
        <v>59</v>
      </c>
      <c r="S1120" s="1">
        <v>65.3</v>
      </c>
    </row>
    <row r="1121" spans="1:19" ht="15">
      <c r="A1121" s="1">
        <v>63</v>
      </c>
      <c r="B1121" s="1" t="s">
        <v>90</v>
      </c>
      <c r="C1121" s="1" t="s">
        <v>78</v>
      </c>
      <c r="D1121" s="1">
        <v>2022</v>
      </c>
      <c r="E1121" s="1" t="s">
        <v>21</v>
      </c>
      <c r="F1121" s="1">
        <v>30430115</v>
      </c>
      <c r="G1121" s="1">
        <v>15496876</v>
      </c>
      <c r="H1121" s="1">
        <v>14933239</v>
      </c>
      <c r="I1121" s="1">
        <v>2469117</v>
      </c>
      <c r="J1121" s="1">
        <v>144521</v>
      </c>
      <c r="K1121" s="1">
        <v>8.11</v>
      </c>
      <c r="L1121" s="1">
        <v>25.97</v>
      </c>
      <c r="M1121" s="1">
        <v>21.88</v>
      </c>
      <c r="N1121" s="1">
        <v>5.09</v>
      </c>
      <c r="O1121" s="1">
        <v>31.35</v>
      </c>
      <c r="P1121" s="1">
        <v>23.7</v>
      </c>
      <c r="Q1121" s="1">
        <v>6928.7</v>
      </c>
      <c r="R1121" s="1">
        <v>71</v>
      </c>
      <c r="S1121" s="1">
        <v>64</v>
      </c>
    </row>
    <row r="1122" spans="1:19" ht="15">
      <c r="A1122" s="1">
        <v>63</v>
      </c>
      <c r="B1122" s="1" t="s">
        <v>90</v>
      </c>
      <c r="C1122" s="1" t="s">
        <v>78</v>
      </c>
      <c r="D1122" s="1">
        <v>2022</v>
      </c>
      <c r="E1122" s="1" t="s">
        <v>22</v>
      </c>
      <c r="F1122" s="1">
        <v>66064203</v>
      </c>
      <c r="G1122" s="1">
        <v>32604024</v>
      </c>
      <c r="H1122" s="1">
        <v>33460179</v>
      </c>
      <c r="I1122" s="1">
        <v>3384552</v>
      </c>
      <c r="J1122" s="1">
        <v>117544</v>
      </c>
      <c r="K1122" s="1">
        <v>5.12</v>
      </c>
      <c r="L1122" s="1">
        <v>28.17</v>
      </c>
      <c r="M1122" s="1">
        <v>28.64</v>
      </c>
      <c r="N1122" s="1">
        <v>13.56</v>
      </c>
      <c r="O1122" s="1">
        <v>23.87</v>
      </c>
      <c r="P1122" s="1">
        <v>26.33</v>
      </c>
      <c r="Q1122" s="1">
        <v>2849.81</v>
      </c>
      <c r="R1122" s="1">
        <v>64</v>
      </c>
      <c r="S1122" s="1">
        <v>79.7</v>
      </c>
    </row>
    <row r="1123" spans="1:19" ht="15">
      <c r="A1123" s="1">
        <v>63</v>
      </c>
      <c r="B1123" s="1" t="s">
        <v>90</v>
      </c>
      <c r="C1123" s="1" t="s">
        <v>78</v>
      </c>
      <c r="D1123" s="1">
        <v>2022</v>
      </c>
      <c r="E1123" s="1" t="s">
        <v>23</v>
      </c>
      <c r="F1123" s="1">
        <v>96376410</v>
      </c>
      <c r="G1123" s="1">
        <v>46334267</v>
      </c>
      <c r="H1123" s="1">
        <v>50042143</v>
      </c>
      <c r="I1123" s="1">
        <v>8457062</v>
      </c>
      <c r="J1123" s="1">
        <v>401534</v>
      </c>
      <c r="K1123" s="1">
        <v>8.7799999999999994</v>
      </c>
      <c r="L1123" s="1">
        <v>11.44</v>
      </c>
      <c r="M1123" s="1">
        <v>26.35</v>
      </c>
      <c r="N1123" s="1">
        <v>12.07</v>
      </c>
      <c r="O1123" s="1">
        <v>27.84</v>
      </c>
      <c r="P1123" s="1">
        <v>24.65</v>
      </c>
      <c r="Q1123" s="1">
        <v>1900.32</v>
      </c>
      <c r="R1123" s="1">
        <v>49</v>
      </c>
      <c r="S1123" s="1">
        <v>76.099999999999994</v>
      </c>
    </row>
    <row r="1124" spans="1:19" ht="15">
      <c r="A1124" s="1">
        <v>63</v>
      </c>
      <c r="B1124" s="1" t="s">
        <v>90</v>
      </c>
      <c r="C1124" s="1" t="s">
        <v>78</v>
      </c>
      <c r="D1124" s="1">
        <v>2023</v>
      </c>
      <c r="E1124" s="1" t="s">
        <v>21</v>
      </c>
      <c r="F1124" s="1">
        <v>123082775</v>
      </c>
      <c r="G1124" s="1">
        <v>60540975</v>
      </c>
      <c r="H1124" s="1">
        <v>62541800</v>
      </c>
      <c r="I1124" s="1">
        <v>10256800</v>
      </c>
      <c r="J1124" s="1">
        <v>815973</v>
      </c>
      <c r="K1124" s="1">
        <v>8.33</v>
      </c>
      <c r="L1124" s="1">
        <v>26.48</v>
      </c>
      <c r="M1124" s="1">
        <v>14.57</v>
      </c>
      <c r="N1124" s="1">
        <v>5.0999999999999996</v>
      </c>
      <c r="O1124" s="1">
        <v>20.05</v>
      </c>
      <c r="P1124" s="1">
        <v>29.16</v>
      </c>
      <c r="Q1124" s="1">
        <v>5503.93</v>
      </c>
      <c r="R1124" s="1">
        <v>63</v>
      </c>
      <c r="S1124" s="1">
        <v>66.099999999999994</v>
      </c>
    </row>
    <row r="1125" spans="1:19" ht="15">
      <c r="A1125" s="1">
        <v>63</v>
      </c>
      <c r="B1125" s="1" t="s">
        <v>90</v>
      </c>
      <c r="C1125" s="1" t="s">
        <v>78</v>
      </c>
      <c r="D1125" s="1">
        <v>2023</v>
      </c>
      <c r="E1125" s="1" t="s">
        <v>22</v>
      </c>
      <c r="F1125" s="1">
        <v>189754053</v>
      </c>
      <c r="G1125" s="1">
        <v>96184383</v>
      </c>
      <c r="H1125" s="1">
        <v>93569670</v>
      </c>
      <c r="I1125" s="1">
        <v>17410420</v>
      </c>
      <c r="J1125" s="1">
        <v>837791</v>
      </c>
      <c r="K1125" s="1">
        <v>9.18</v>
      </c>
      <c r="L1125" s="1">
        <v>12.86</v>
      </c>
      <c r="M1125" s="1">
        <v>26.16</v>
      </c>
      <c r="N1125" s="1">
        <v>7.35</v>
      </c>
      <c r="O1125" s="1">
        <v>32.64</v>
      </c>
      <c r="P1125" s="1">
        <v>35.68</v>
      </c>
      <c r="Q1125" s="1">
        <v>11673.62</v>
      </c>
      <c r="R1125" s="1">
        <v>54</v>
      </c>
      <c r="S1125" s="1">
        <v>78.2</v>
      </c>
    </row>
    <row r="1126" spans="1:19" ht="15">
      <c r="A1126" s="1">
        <v>63</v>
      </c>
      <c r="B1126" s="1" t="s">
        <v>90</v>
      </c>
      <c r="C1126" s="1" t="s">
        <v>78</v>
      </c>
      <c r="D1126" s="1">
        <v>2023</v>
      </c>
      <c r="E1126" s="1" t="s">
        <v>23</v>
      </c>
      <c r="F1126" s="1">
        <v>5567392</v>
      </c>
      <c r="G1126" s="1">
        <v>2845490</v>
      </c>
      <c r="H1126" s="1">
        <v>2721902</v>
      </c>
      <c r="I1126" s="1">
        <v>453442</v>
      </c>
      <c r="J1126" s="1">
        <v>31800</v>
      </c>
      <c r="K1126" s="1">
        <v>8.14</v>
      </c>
      <c r="L1126" s="1">
        <v>16.23</v>
      </c>
      <c r="M1126" s="1">
        <v>15.96</v>
      </c>
      <c r="N1126" s="1">
        <v>13.52</v>
      </c>
      <c r="O1126" s="1">
        <v>38.93</v>
      </c>
      <c r="P1126" s="1">
        <v>39.64</v>
      </c>
      <c r="Q1126" s="1">
        <v>10194.08</v>
      </c>
      <c r="R1126" s="1">
        <v>42</v>
      </c>
      <c r="S1126" s="1">
        <v>70</v>
      </c>
    </row>
    <row r="1127" spans="1:19" ht="15">
      <c r="A1127" s="1">
        <v>63</v>
      </c>
      <c r="B1127" s="1" t="s">
        <v>90</v>
      </c>
      <c r="C1127" s="1" t="s">
        <v>78</v>
      </c>
      <c r="D1127" s="1">
        <v>2024</v>
      </c>
      <c r="E1127" s="1" t="s">
        <v>21</v>
      </c>
      <c r="F1127" s="1">
        <v>124785045</v>
      </c>
      <c r="G1127" s="1">
        <v>63103785</v>
      </c>
      <c r="H1127" s="1">
        <v>61681260</v>
      </c>
      <c r="I1127" s="1">
        <v>12048732</v>
      </c>
      <c r="J1127" s="1">
        <v>439621</v>
      </c>
      <c r="K1127" s="1">
        <v>9.66</v>
      </c>
      <c r="L1127" s="1">
        <v>28.98</v>
      </c>
      <c r="M1127" s="1">
        <v>20.11</v>
      </c>
      <c r="N1127" s="1">
        <v>13.02</v>
      </c>
      <c r="O1127" s="1">
        <v>23.39</v>
      </c>
      <c r="P1127" s="1">
        <v>16.559999999999999</v>
      </c>
      <c r="Q1127" s="1">
        <v>6194.9</v>
      </c>
      <c r="R1127" s="1">
        <v>64</v>
      </c>
      <c r="S1127" s="1">
        <v>66.2</v>
      </c>
    </row>
    <row r="1128" spans="1:19" ht="15">
      <c r="A1128" s="1">
        <v>63</v>
      </c>
      <c r="B1128" s="1" t="s">
        <v>90</v>
      </c>
      <c r="C1128" s="1" t="s">
        <v>78</v>
      </c>
      <c r="D1128" s="1">
        <v>2024</v>
      </c>
      <c r="E1128" s="1" t="s">
        <v>22</v>
      </c>
      <c r="F1128" s="1">
        <v>198783810</v>
      </c>
      <c r="G1128" s="1">
        <v>100492952</v>
      </c>
      <c r="H1128" s="1">
        <v>98290858</v>
      </c>
      <c r="I1128" s="1">
        <v>14916116</v>
      </c>
      <c r="J1128" s="1">
        <v>591229</v>
      </c>
      <c r="K1128" s="1">
        <v>7.5</v>
      </c>
      <c r="L1128" s="1">
        <v>12.04</v>
      </c>
      <c r="M1128" s="1">
        <v>28.8</v>
      </c>
      <c r="N1128" s="1">
        <v>12.45</v>
      </c>
      <c r="O1128" s="1">
        <v>28.53</v>
      </c>
      <c r="P1128" s="1">
        <v>21.59</v>
      </c>
      <c r="Q1128" s="1">
        <v>4928.63</v>
      </c>
      <c r="R1128" s="1">
        <v>79</v>
      </c>
      <c r="S1128" s="1">
        <v>74.400000000000006</v>
      </c>
    </row>
    <row r="1129" spans="1:19" ht="15">
      <c r="A1129" s="1">
        <v>63</v>
      </c>
      <c r="B1129" s="1" t="s">
        <v>90</v>
      </c>
      <c r="C1129" s="1" t="s">
        <v>78</v>
      </c>
      <c r="D1129" s="1">
        <v>2024</v>
      </c>
      <c r="E1129" s="1" t="s">
        <v>23</v>
      </c>
      <c r="F1129" s="1">
        <v>134943644</v>
      </c>
      <c r="G1129" s="1">
        <v>66463939</v>
      </c>
      <c r="H1129" s="1">
        <v>68479705</v>
      </c>
      <c r="I1129" s="1">
        <v>10020824</v>
      </c>
      <c r="J1129" s="1">
        <v>453899</v>
      </c>
      <c r="K1129" s="1">
        <v>7.43</v>
      </c>
      <c r="L1129" s="1">
        <v>10.08</v>
      </c>
      <c r="M1129" s="1">
        <v>16.45</v>
      </c>
      <c r="N1129" s="1">
        <v>7.86</v>
      </c>
      <c r="O1129" s="1">
        <v>39.61</v>
      </c>
      <c r="P1129" s="1">
        <v>20.350000000000001</v>
      </c>
      <c r="Q1129" s="1">
        <v>2422.2199999999998</v>
      </c>
      <c r="R1129" s="1">
        <v>55</v>
      </c>
      <c r="S1129" s="1">
        <v>65</v>
      </c>
    </row>
    <row r="1130" spans="1:19" ht="15">
      <c r="A1130" s="1">
        <v>63</v>
      </c>
      <c r="B1130" s="1" t="s">
        <v>90</v>
      </c>
      <c r="C1130" s="1" t="s">
        <v>78</v>
      </c>
      <c r="D1130" s="1">
        <v>2025</v>
      </c>
      <c r="E1130" s="1" t="s">
        <v>21</v>
      </c>
      <c r="F1130" s="1">
        <v>9105499</v>
      </c>
      <c r="G1130" s="1">
        <v>4651647</v>
      </c>
      <c r="H1130" s="1">
        <v>4453852</v>
      </c>
      <c r="I1130" s="1">
        <v>789829</v>
      </c>
      <c r="J1130" s="1">
        <v>26852</v>
      </c>
      <c r="K1130" s="1">
        <v>8.67</v>
      </c>
      <c r="L1130" s="1">
        <v>25.42</v>
      </c>
      <c r="M1130" s="1">
        <v>28.21</v>
      </c>
      <c r="N1130" s="1">
        <v>5.83</v>
      </c>
      <c r="O1130" s="1">
        <v>23.08</v>
      </c>
      <c r="P1130" s="1">
        <v>17.440000000000001</v>
      </c>
      <c r="Q1130" s="1">
        <v>7364.91</v>
      </c>
      <c r="R1130" s="1">
        <v>43</v>
      </c>
      <c r="S1130" s="1">
        <v>68.400000000000006</v>
      </c>
    </row>
    <row r="1131" spans="1:19" ht="15">
      <c r="A1131" s="1">
        <v>63</v>
      </c>
      <c r="B1131" s="1" t="s">
        <v>90</v>
      </c>
      <c r="C1131" s="1" t="s">
        <v>78</v>
      </c>
      <c r="D1131" s="1">
        <v>2025</v>
      </c>
      <c r="E1131" s="1" t="s">
        <v>22</v>
      </c>
      <c r="F1131" s="1">
        <v>175254784</v>
      </c>
      <c r="G1131" s="1">
        <v>85989983</v>
      </c>
      <c r="H1131" s="1">
        <v>89264801</v>
      </c>
      <c r="I1131" s="1">
        <v>12884152</v>
      </c>
      <c r="J1131" s="1">
        <v>648505</v>
      </c>
      <c r="K1131" s="1">
        <v>7.35</v>
      </c>
      <c r="L1131" s="1">
        <v>12.76</v>
      </c>
      <c r="M1131" s="1">
        <v>10.42</v>
      </c>
      <c r="N1131" s="1">
        <v>7.78</v>
      </c>
      <c r="O1131" s="1">
        <v>34.200000000000003</v>
      </c>
      <c r="P1131" s="1">
        <v>39.99</v>
      </c>
      <c r="Q1131" s="1">
        <v>660.37</v>
      </c>
      <c r="R1131" s="1">
        <v>66</v>
      </c>
      <c r="S1131" s="1">
        <v>71.099999999999994</v>
      </c>
    </row>
    <row r="1132" spans="1:19" ht="15">
      <c r="A1132" s="1">
        <v>63</v>
      </c>
      <c r="B1132" s="1" t="s">
        <v>90</v>
      </c>
      <c r="C1132" s="1" t="s">
        <v>78</v>
      </c>
      <c r="D1132" s="1">
        <v>2025</v>
      </c>
      <c r="E1132" s="1" t="s">
        <v>23</v>
      </c>
      <c r="F1132" s="1">
        <v>98816798</v>
      </c>
      <c r="G1132" s="1">
        <v>50839104</v>
      </c>
      <c r="H1132" s="1">
        <v>47977694</v>
      </c>
      <c r="I1132" s="1">
        <v>6414257</v>
      </c>
      <c r="J1132" s="1">
        <v>315542</v>
      </c>
      <c r="K1132" s="1">
        <v>6.49</v>
      </c>
      <c r="L1132" s="1">
        <v>21.64</v>
      </c>
      <c r="M1132" s="1">
        <v>13.33</v>
      </c>
      <c r="N1132" s="1">
        <v>9.4700000000000006</v>
      </c>
      <c r="O1132" s="1">
        <v>31.47</v>
      </c>
      <c r="P1132" s="1">
        <v>15.5</v>
      </c>
      <c r="Q1132" s="1">
        <v>8027.15</v>
      </c>
      <c r="R1132" s="1">
        <v>68</v>
      </c>
      <c r="S1132" s="1">
        <v>61.5</v>
      </c>
    </row>
    <row r="1133" spans="1:19" ht="15">
      <c r="A1133" s="1">
        <v>63</v>
      </c>
      <c r="B1133" s="1" t="s">
        <v>90</v>
      </c>
      <c r="C1133" s="1" t="s">
        <v>78</v>
      </c>
      <c r="D1133" s="1">
        <v>2026</v>
      </c>
      <c r="E1133" s="1" t="s">
        <v>21</v>
      </c>
      <c r="F1133" s="1">
        <v>71111749</v>
      </c>
      <c r="G1133" s="1">
        <v>36965841</v>
      </c>
      <c r="H1133" s="1">
        <v>34145908</v>
      </c>
      <c r="I1133" s="1">
        <v>6848511</v>
      </c>
      <c r="J1133" s="1">
        <v>271685</v>
      </c>
      <c r="K1133" s="1">
        <v>9.6300000000000008</v>
      </c>
      <c r="L1133" s="1">
        <v>19.78</v>
      </c>
      <c r="M1133" s="1">
        <v>27.3</v>
      </c>
      <c r="N1133" s="1">
        <v>10.58</v>
      </c>
      <c r="O1133" s="1">
        <v>25.23</v>
      </c>
      <c r="P1133" s="1">
        <v>22.18</v>
      </c>
      <c r="Q1133" s="1">
        <v>8659.4</v>
      </c>
      <c r="R1133" s="1">
        <v>47</v>
      </c>
      <c r="S1133" s="1">
        <v>66.3</v>
      </c>
    </row>
    <row r="1134" spans="1:19" ht="15">
      <c r="A1134" s="1">
        <v>63</v>
      </c>
      <c r="B1134" s="1" t="s">
        <v>90</v>
      </c>
      <c r="C1134" s="1" t="s">
        <v>78</v>
      </c>
      <c r="D1134" s="1">
        <v>2026</v>
      </c>
      <c r="E1134" s="1" t="s">
        <v>22</v>
      </c>
      <c r="F1134" s="1">
        <v>145284575</v>
      </c>
      <c r="G1134" s="1">
        <v>73142817</v>
      </c>
      <c r="H1134" s="1">
        <v>72141758</v>
      </c>
      <c r="I1134" s="1">
        <v>10803097</v>
      </c>
      <c r="J1134" s="1">
        <v>537876</v>
      </c>
      <c r="K1134" s="1">
        <v>7.44</v>
      </c>
      <c r="L1134" s="1">
        <v>26.2</v>
      </c>
      <c r="M1134" s="1">
        <v>15.21</v>
      </c>
      <c r="N1134" s="1">
        <v>12.71</v>
      </c>
      <c r="O1134" s="1">
        <v>36.32</v>
      </c>
      <c r="P1134" s="1">
        <v>19.38</v>
      </c>
      <c r="Q1134" s="1">
        <v>2730.53</v>
      </c>
      <c r="R1134" s="1">
        <v>46</v>
      </c>
      <c r="S1134" s="1">
        <v>77.099999999999994</v>
      </c>
    </row>
    <row r="1135" spans="1:19" ht="15">
      <c r="A1135" s="1">
        <v>63</v>
      </c>
      <c r="B1135" s="1" t="s">
        <v>90</v>
      </c>
      <c r="C1135" s="1" t="s">
        <v>78</v>
      </c>
      <c r="D1135" s="1">
        <v>2026</v>
      </c>
      <c r="E1135" s="1" t="s">
        <v>23</v>
      </c>
      <c r="F1135" s="1">
        <v>101437650</v>
      </c>
      <c r="G1135" s="1">
        <v>49522487</v>
      </c>
      <c r="H1135" s="1">
        <v>51915163</v>
      </c>
      <c r="I1135" s="1">
        <v>6357266</v>
      </c>
      <c r="J1135" s="1">
        <v>361897</v>
      </c>
      <c r="K1135" s="1">
        <v>6.27</v>
      </c>
      <c r="L1135" s="1">
        <v>10.65</v>
      </c>
      <c r="M1135" s="1">
        <v>16.79</v>
      </c>
      <c r="N1135" s="1">
        <v>7.99</v>
      </c>
      <c r="O1135" s="1">
        <v>28.69</v>
      </c>
      <c r="P1135" s="1">
        <v>36.840000000000003</v>
      </c>
      <c r="Q1135" s="1">
        <v>5844.67</v>
      </c>
      <c r="R1135" s="1">
        <v>40</v>
      </c>
      <c r="S1135" s="1">
        <v>71.5</v>
      </c>
    </row>
    <row r="1136" spans="1:19" ht="15">
      <c r="A1136" s="1">
        <v>64</v>
      </c>
      <c r="B1136" s="1" t="s">
        <v>91</v>
      </c>
      <c r="C1136" s="1" t="s">
        <v>78</v>
      </c>
      <c r="D1136" s="1">
        <v>2021</v>
      </c>
      <c r="E1136" s="1" t="s">
        <v>21</v>
      </c>
      <c r="F1136" s="1">
        <v>146701078</v>
      </c>
      <c r="G1136" s="1">
        <v>75938543</v>
      </c>
      <c r="H1136" s="1">
        <v>70762535</v>
      </c>
      <c r="I1136" s="1">
        <v>14486042</v>
      </c>
      <c r="J1136" s="1">
        <v>848359</v>
      </c>
      <c r="K1136" s="1">
        <v>9.8699999999999992</v>
      </c>
      <c r="L1136" s="1">
        <v>12.82</v>
      </c>
      <c r="M1136" s="1">
        <v>15.85</v>
      </c>
      <c r="N1136" s="1">
        <v>7.3</v>
      </c>
      <c r="O1136" s="1">
        <v>38.909999999999997</v>
      </c>
      <c r="P1136" s="1">
        <v>36.49</v>
      </c>
      <c r="Q1136" s="1">
        <v>3839.31</v>
      </c>
      <c r="R1136" s="1">
        <v>81</v>
      </c>
      <c r="S1136" s="1">
        <v>75</v>
      </c>
    </row>
    <row r="1137" spans="1:19" ht="15">
      <c r="A1137" s="1">
        <v>64</v>
      </c>
      <c r="B1137" s="1" t="s">
        <v>91</v>
      </c>
      <c r="C1137" s="1" t="s">
        <v>78</v>
      </c>
      <c r="D1137" s="1">
        <v>2021</v>
      </c>
      <c r="E1137" s="1" t="s">
        <v>22</v>
      </c>
      <c r="F1137" s="1">
        <v>95252872</v>
      </c>
      <c r="G1137" s="1">
        <v>46500825</v>
      </c>
      <c r="H1137" s="1">
        <v>48752047</v>
      </c>
      <c r="I1137" s="1">
        <v>7391426</v>
      </c>
      <c r="J1137" s="1">
        <v>567066</v>
      </c>
      <c r="K1137" s="1">
        <v>7.76</v>
      </c>
      <c r="L1137" s="1">
        <v>28.74</v>
      </c>
      <c r="M1137" s="1">
        <v>27.8</v>
      </c>
      <c r="N1137" s="1">
        <v>12.5</v>
      </c>
      <c r="O1137" s="1">
        <v>25.24</v>
      </c>
      <c r="P1137" s="1">
        <v>24.59</v>
      </c>
      <c r="Q1137" s="1">
        <v>6614.12</v>
      </c>
      <c r="R1137" s="1">
        <v>53</v>
      </c>
      <c r="S1137" s="1">
        <v>73.5</v>
      </c>
    </row>
    <row r="1138" spans="1:19" ht="15">
      <c r="A1138" s="1">
        <v>64</v>
      </c>
      <c r="B1138" s="1" t="s">
        <v>91</v>
      </c>
      <c r="C1138" s="1" t="s">
        <v>78</v>
      </c>
      <c r="D1138" s="1">
        <v>2021</v>
      </c>
      <c r="E1138" s="1" t="s">
        <v>23</v>
      </c>
      <c r="F1138" s="1">
        <v>109777231</v>
      </c>
      <c r="G1138" s="1">
        <v>54057479</v>
      </c>
      <c r="H1138" s="1">
        <v>55719752</v>
      </c>
      <c r="I1138" s="1">
        <v>6777952</v>
      </c>
      <c r="J1138" s="1">
        <v>439305</v>
      </c>
      <c r="K1138" s="1">
        <v>6.17</v>
      </c>
      <c r="L1138" s="1">
        <v>18.100000000000001</v>
      </c>
      <c r="M1138" s="1">
        <v>32.270000000000003</v>
      </c>
      <c r="N1138" s="1">
        <v>6.89</v>
      </c>
      <c r="O1138" s="1">
        <v>22.33</v>
      </c>
      <c r="P1138" s="1">
        <v>35.770000000000003</v>
      </c>
      <c r="Q1138" s="1">
        <v>2773.46</v>
      </c>
      <c r="R1138" s="1">
        <v>57</v>
      </c>
      <c r="S1138" s="1">
        <v>72.8</v>
      </c>
    </row>
    <row r="1139" spans="1:19" ht="15">
      <c r="A1139" s="1">
        <v>64</v>
      </c>
      <c r="B1139" s="1" t="s">
        <v>91</v>
      </c>
      <c r="C1139" s="1" t="s">
        <v>78</v>
      </c>
      <c r="D1139" s="1">
        <v>2022</v>
      </c>
      <c r="E1139" s="1" t="s">
        <v>21</v>
      </c>
      <c r="F1139" s="1">
        <v>143248769</v>
      </c>
      <c r="G1139" s="1">
        <v>72028420</v>
      </c>
      <c r="H1139" s="1">
        <v>71220349</v>
      </c>
      <c r="I1139" s="1">
        <v>7426776</v>
      </c>
      <c r="J1139" s="1">
        <v>526063</v>
      </c>
      <c r="K1139" s="1">
        <v>5.18</v>
      </c>
      <c r="L1139" s="1">
        <v>25.96</v>
      </c>
      <c r="M1139" s="1">
        <v>18.850000000000001</v>
      </c>
      <c r="N1139" s="1">
        <v>14.59</v>
      </c>
      <c r="O1139" s="1">
        <v>29.93</v>
      </c>
      <c r="P1139" s="1">
        <v>22.27</v>
      </c>
      <c r="Q1139" s="1">
        <v>6972.65</v>
      </c>
      <c r="R1139" s="1">
        <v>81</v>
      </c>
      <c r="S1139" s="1">
        <v>60.9</v>
      </c>
    </row>
    <row r="1140" spans="1:19" ht="15">
      <c r="A1140" s="1">
        <v>64</v>
      </c>
      <c r="B1140" s="1" t="s">
        <v>91</v>
      </c>
      <c r="C1140" s="1" t="s">
        <v>78</v>
      </c>
      <c r="D1140" s="1">
        <v>2022</v>
      </c>
      <c r="E1140" s="1" t="s">
        <v>22</v>
      </c>
      <c r="F1140" s="1">
        <v>171542507</v>
      </c>
      <c r="G1140" s="1">
        <v>86769235</v>
      </c>
      <c r="H1140" s="1">
        <v>84773272</v>
      </c>
      <c r="I1140" s="1">
        <v>11793889</v>
      </c>
      <c r="J1140" s="1">
        <v>557157</v>
      </c>
      <c r="K1140" s="1">
        <v>6.88</v>
      </c>
      <c r="L1140" s="1">
        <v>12.06</v>
      </c>
      <c r="M1140" s="1">
        <v>23.97</v>
      </c>
      <c r="N1140" s="1">
        <v>14.57</v>
      </c>
      <c r="O1140" s="1">
        <v>28.83</v>
      </c>
      <c r="P1140" s="1">
        <v>33.86</v>
      </c>
      <c r="Q1140" s="1">
        <v>1064.96</v>
      </c>
      <c r="R1140" s="1">
        <v>50</v>
      </c>
      <c r="S1140" s="1">
        <v>74.8</v>
      </c>
    </row>
    <row r="1141" spans="1:19" ht="15">
      <c r="A1141" s="1">
        <v>64</v>
      </c>
      <c r="B1141" s="1" t="s">
        <v>91</v>
      </c>
      <c r="C1141" s="1" t="s">
        <v>78</v>
      </c>
      <c r="D1141" s="1">
        <v>2022</v>
      </c>
      <c r="E1141" s="1" t="s">
        <v>23</v>
      </c>
      <c r="F1141" s="1">
        <v>94078494</v>
      </c>
      <c r="G1141" s="1">
        <v>46113402</v>
      </c>
      <c r="H1141" s="1">
        <v>47965092</v>
      </c>
      <c r="I1141" s="1">
        <v>8938800</v>
      </c>
      <c r="J1141" s="1">
        <v>472491</v>
      </c>
      <c r="K1141" s="1">
        <v>9.5</v>
      </c>
      <c r="L1141" s="1">
        <v>29.2</v>
      </c>
      <c r="M1141" s="1">
        <v>28.73</v>
      </c>
      <c r="N1141" s="1">
        <v>12.65</v>
      </c>
      <c r="O1141" s="1">
        <v>32.25</v>
      </c>
      <c r="P1141" s="1">
        <v>36.06</v>
      </c>
      <c r="Q1141" s="1">
        <v>9324.01</v>
      </c>
      <c r="R1141" s="1">
        <v>73</v>
      </c>
      <c r="S1141" s="1">
        <v>73.3</v>
      </c>
    </row>
    <row r="1142" spans="1:19" ht="15">
      <c r="A1142" s="1">
        <v>64</v>
      </c>
      <c r="B1142" s="1" t="s">
        <v>91</v>
      </c>
      <c r="C1142" s="1" t="s">
        <v>78</v>
      </c>
      <c r="D1142" s="1">
        <v>2023</v>
      </c>
      <c r="E1142" s="1" t="s">
        <v>21</v>
      </c>
      <c r="F1142" s="1">
        <v>15568919</v>
      </c>
      <c r="G1142" s="1">
        <v>7859603</v>
      </c>
      <c r="H1142" s="1">
        <v>7709316</v>
      </c>
      <c r="I1142" s="1">
        <v>816932</v>
      </c>
      <c r="J1142" s="1">
        <v>48122</v>
      </c>
      <c r="K1142" s="1">
        <v>5.25</v>
      </c>
      <c r="L1142" s="1">
        <v>18.88</v>
      </c>
      <c r="M1142" s="1">
        <v>23.25</v>
      </c>
      <c r="N1142" s="1">
        <v>9.76</v>
      </c>
      <c r="O1142" s="1">
        <v>30.25</v>
      </c>
      <c r="P1142" s="1">
        <v>30.8</v>
      </c>
      <c r="Q1142" s="1">
        <v>4599.55</v>
      </c>
      <c r="R1142" s="1">
        <v>78</v>
      </c>
      <c r="S1142" s="1">
        <v>79</v>
      </c>
    </row>
    <row r="1143" spans="1:19" ht="15">
      <c r="A1143" s="1">
        <v>64</v>
      </c>
      <c r="B1143" s="1" t="s">
        <v>91</v>
      </c>
      <c r="C1143" s="1" t="s">
        <v>78</v>
      </c>
      <c r="D1143" s="1">
        <v>2023</v>
      </c>
      <c r="E1143" s="1" t="s">
        <v>22</v>
      </c>
      <c r="F1143" s="1">
        <v>188690744</v>
      </c>
      <c r="G1143" s="1">
        <v>91089703</v>
      </c>
      <c r="H1143" s="1">
        <v>97601041</v>
      </c>
      <c r="I1143" s="1">
        <v>15058744</v>
      </c>
      <c r="J1143" s="1">
        <v>584424</v>
      </c>
      <c r="K1143" s="1">
        <v>7.98</v>
      </c>
      <c r="L1143" s="1">
        <v>21.99</v>
      </c>
      <c r="M1143" s="1">
        <v>29.03</v>
      </c>
      <c r="N1143" s="1">
        <v>11.72</v>
      </c>
      <c r="O1143" s="1">
        <v>32.46</v>
      </c>
      <c r="P1143" s="1">
        <v>36.69</v>
      </c>
      <c r="Q1143" s="1">
        <v>9988.48</v>
      </c>
      <c r="R1143" s="1">
        <v>44</v>
      </c>
      <c r="S1143" s="1">
        <v>69.2</v>
      </c>
    </row>
    <row r="1144" spans="1:19" ht="15">
      <c r="A1144" s="1">
        <v>64</v>
      </c>
      <c r="B1144" s="1" t="s">
        <v>91</v>
      </c>
      <c r="C1144" s="1" t="s">
        <v>78</v>
      </c>
      <c r="D1144" s="1">
        <v>2023</v>
      </c>
      <c r="E1144" s="1" t="s">
        <v>23</v>
      </c>
      <c r="F1144" s="1">
        <v>154516384</v>
      </c>
      <c r="G1144" s="1">
        <v>74827637</v>
      </c>
      <c r="H1144" s="1">
        <v>79688747</v>
      </c>
      <c r="I1144" s="1">
        <v>10990901</v>
      </c>
      <c r="J1144" s="1">
        <v>436291</v>
      </c>
      <c r="K1144" s="1">
        <v>7.11</v>
      </c>
      <c r="L1144" s="1">
        <v>17.46</v>
      </c>
      <c r="M1144" s="1">
        <v>28.83</v>
      </c>
      <c r="N1144" s="1">
        <v>13.63</v>
      </c>
      <c r="O1144" s="1">
        <v>21.92</v>
      </c>
      <c r="P1144" s="1">
        <v>33.39</v>
      </c>
      <c r="Q1144" s="1">
        <v>3239.27</v>
      </c>
      <c r="R1144" s="1">
        <v>81</v>
      </c>
      <c r="S1144" s="1">
        <v>74.7</v>
      </c>
    </row>
    <row r="1145" spans="1:19" ht="15">
      <c r="A1145" s="1">
        <v>64</v>
      </c>
      <c r="B1145" s="1" t="s">
        <v>91</v>
      </c>
      <c r="C1145" s="1" t="s">
        <v>78</v>
      </c>
      <c r="D1145" s="1">
        <v>2024</v>
      </c>
      <c r="E1145" s="1" t="s">
        <v>21</v>
      </c>
      <c r="F1145" s="1">
        <v>21820103</v>
      </c>
      <c r="G1145" s="1">
        <v>10951471</v>
      </c>
      <c r="H1145" s="1">
        <v>10868632</v>
      </c>
      <c r="I1145" s="1">
        <v>1318566</v>
      </c>
      <c r="J1145" s="1">
        <v>101234</v>
      </c>
      <c r="K1145" s="1">
        <v>6.04</v>
      </c>
      <c r="L1145" s="1">
        <v>18.21</v>
      </c>
      <c r="M1145" s="1">
        <v>15.4</v>
      </c>
      <c r="N1145" s="1">
        <v>11.38</v>
      </c>
      <c r="O1145" s="1">
        <v>34.68</v>
      </c>
      <c r="P1145" s="1">
        <v>34.96</v>
      </c>
      <c r="Q1145" s="1">
        <v>5935.76</v>
      </c>
      <c r="R1145" s="1">
        <v>41</v>
      </c>
      <c r="S1145" s="1">
        <v>76</v>
      </c>
    </row>
    <row r="1146" spans="1:19" ht="15">
      <c r="A1146" s="1">
        <v>64</v>
      </c>
      <c r="B1146" s="1" t="s">
        <v>91</v>
      </c>
      <c r="C1146" s="1" t="s">
        <v>78</v>
      </c>
      <c r="D1146" s="1">
        <v>2024</v>
      </c>
      <c r="E1146" s="1" t="s">
        <v>22</v>
      </c>
      <c r="F1146" s="1">
        <v>107572306</v>
      </c>
      <c r="G1146" s="1">
        <v>53632460</v>
      </c>
      <c r="H1146" s="1">
        <v>53939846</v>
      </c>
      <c r="I1146" s="1">
        <v>10641017</v>
      </c>
      <c r="J1146" s="1">
        <v>842023</v>
      </c>
      <c r="K1146" s="1">
        <v>9.89</v>
      </c>
      <c r="L1146" s="1">
        <v>17.649999999999999</v>
      </c>
      <c r="M1146" s="1">
        <v>11.33</v>
      </c>
      <c r="N1146" s="1">
        <v>6.65</v>
      </c>
      <c r="O1146" s="1">
        <v>26.98</v>
      </c>
      <c r="P1146" s="1">
        <v>38.450000000000003</v>
      </c>
      <c r="Q1146" s="1">
        <v>7621.68</v>
      </c>
      <c r="R1146" s="1">
        <v>80</v>
      </c>
      <c r="S1146" s="1">
        <v>82.9</v>
      </c>
    </row>
    <row r="1147" spans="1:19" ht="15">
      <c r="A1147" s="1">
        <v>64</v>
      </c>
      <c r="B1147" s="1" t="s">
        <v>91</v>
      </c>
      <c r="C1147" s="1" t="s">
        <v>78</v>
      </c>
      <c r="D1147" s="1">
        <v>2024</v>
      </c>
      <c r="E1147" s="1" t="s">
        <v>23</v>
      </c>
      <c r="F1147" s="1">
        <v>135743473</v>
      </c>
      <c r="G1147" s="1">
        <v>66308280</v>
      </c>
      <c r="H1147" s="1">
        <v>69435193</v>
      </c>
      <c r="I1147" s="1">
        <v>7879242</v>
      </c>
      <c r="J1147" s="1">
        <v>314565</v>
      </c>
      <c r="K1147" s="1">
        <v>5.8</v>
      </c>
      <c r="L1147" s="1">
        <v>17.920000000000002</v>
      </c>
      <c r="M1147" s="1">
        <v>26.97</v>
      </c>
      <c r="N1147" s="1">
        <v>8.51</v>
      </c>
      <c r="O1147" s="1">
        <v>39.43</v>
      </c>
      <c r="P1147" s="1">
        <v>34.29</v>
      </c>
      <c r="Q1147" s="1">
        <v>10673.17</v>
      </c>
      <c r="R1147" s="1">
        <v>48</v>
      </c>
      <c r="S1147" s="1">
        <v>62.3</v>
      </c>
    </row>
    <row r="1148" spans="1:19" ht="15">
      <c r="A1148" s="1">
        <v>64</v>
      </c>
      <c r="B1148" s="1" t="s">
        <v>91</v>
      </c>
      <c r="C1148" s="1" t="s">
        <v>78</v>
      </c>
      <c r="D1148" s="1">
        <v>2025</v>
      </c>
      <c r="E1148" s="1" t="s">
        <v>21</v>
      </c>
      <c r="F1148" s="1">
        <v>56130265</v>
      </c>
      <c r="G1148" s="1">
        <v>27225725</v>
      </c>
      <c r="H1148" s="1">
        <v>28904540</v>
      </c>
      <c r="I1148" s="1">
        <v>5142749</v>
      </c>
      <c r="J1148" s="1">
        <v>359894</v>
      </c>
      <c r="K1148" s="1">
        <v>9.16</v>
      </c>
      <c r="L1148" s="1">
        <v>20.45</v>
      </c>
      <c r="M1148" s="1">
        <v>30.38</v>
      </c>
      <c r="N1148" s="1">
        <v>7.58</v>
      </c>
      <c r="O1148" s="1">
        <v>36.67</v>
      </c>
      <c r="P1148" s="1">
        <v>16.75</v>
      </c>
      <c r="Q1148" s="1">
        <v>4497.03</v>
      </c>
      <c r="R1148" s="1">
        <v>53</v>
      </c>
      <c r="S1148" s="1">
        <v>79.900000000000006</v>
      </c>
    </row>
    <row r="1149" spans="1:19" ht="15">
      <c r="A1149" s="1">
        <v>64</v>
      </c>
      <c r="B1149" s="1" t="s">
        <v>91</v>
      </c>
      <c r="C1149" s="1" t="s">
        <v>78</v>
      </c>
      <c r="D1149" s="1">
        <v>2025</v>
      </c>
      <c r="E1149" s="1" t="s">
        <v>22</v>
      </c>
      <c r="F1149" s="1">
        <v>102752922</v>
      </c>
      <c r="G1149" s="1">
        <v>50831220</v>
      </c>
      <c r="H1149" s="1">
        <v>51921702</v>
      </c>
      <c r="I1149" s="1">
        <v>8866911</v>
      </c>
      <c r="J1149" s="1">
        <v>431770</v>
      </c>
      <c r="K1149" s="1">
        <v>8.6300000000000008</v>
      </c>
      <c r="L1149" s="1">
        <v>19.82</v>
      </c>
      <c r="M1149" s="1">
        <v>18.260000000000002</v>
      </c>
      <c r="N1149" s="1">
        <v>11.17</v>
      </c>
      <c r="O1149" s="1">
        <v>20.07</v>
      </c>
      <c r="P1149" s="1">
        <v>29.21</v>
      </c>
      <c r="Q1149" s="1">
        <v>4774.6400000000003</v>
      </c>
      <c r="R1149" s="1">
        <v>56</v>
      </c>
      <c r="S1149" s="1">
        <v>68.7</v>
      </c>
    </row>
    <row r="1150" spans="1:19" ht="15">
      <c r="A1150" s="1">
        <v>64</v>
      </c>
      <c r="B1150" s="1" t="s">
        <v>91</v>
      </c>
      <c r="C1150" s="1" t="s">
        <v>78</v>
      </c>
      <c r="D1150" s="1">
        <v>2025</v>
      </c>
      <c r="E1150" s="1" t="s">
        <v>23</v>
      </c>
      <c r="F1150" s="1">
        <v>166128457</v>
      </c>
      <c r="G1150" s="1">
        <v>85703206</v>
      </c>
      <c r="H1150" s="1">
        <v>80425251</v>
      </c>
      <c r="I1150" s="1">
        <v>16168870</v>
      </c>
      <c r="J1150" s="1">
        <v>731665</v>
      </c>
      <c r="K1150" s="1">
        <v>9.73</v>
      </c>
      <c r="L1150" s="1">
        <v>21.05</v>
      </c>
      <c r="M1150" s="1">
        <v>10.96</v>
      </c>
      <c r="N1150" s="1">
        <v>8.7799999999999994</v>
      </c>
      <c r="O1150" s="1">
        <v>35.22</v>
      </c>
      <c r="P1150" s="1">
        <v>36.909999999999997</v>
      </c>
      <c r="Q1150" s="1">
        <v>10848.92</v>
      </c>
      <c r="R1150" s="1">
        <v>47</v>
      </c>
      <c r="S1150" s="1">
        <v>60.9</v>
      </c>
    </row>
    <row r="1151" spans="1:19" ht="15">
      <c r="A1151" s="1">
        <v>64</v>
      </c>
      <c r="B1151" s="1" t="s">
        <v>91</v>
      </c>
      <c r="C1151" s="1" t="s">
        <v>78</v>
      </c>
      <c r="D1151" s="1">
        <v>2026</v>
      </c>
      <c r="E1151" s="1" t="s">
        <v>21</v>
      </c>
      <c r="F1151" s="1">
        <v>85685673</v>
      </c>
      <c r="G1151" s="1">
        <v>42447558</v>
      </c>
      <c r="H1151" s="1">
        <v>43238115</v>
      </c>
      <c r="I1151" s="1">
        <v>7301510</v>
      </c>
      <c r="J1151" s="1">
        <v>336916</v>
      </c>
      <c r="K1151" s="1">
        <v>8.52</v>
      </c>
      <c r="L1151" s="1">
        <v>25.61</v>
      </c>
      <c r="M1151" s="1">
        <v>23.92</v>
      </c>
      <c r="N1151" s="1">
        <v>10.220000000000001</v>
      </c>
      <c r="O1151" s="1">
        <v>23.14</v>
      </c>
      <c r="P1151" s="1">
        <v>35.15</v>
      </c>
      <c r="Q1151" s="1">
        <v>4046.86</v>
      </c>
      <c r="R1151" s="1">
        <v>59</v>
      </c>
      <c r="S1151" s="1">
        <v>73.400000000000006</v>
      </c>
    </row>
    <row r="1152" spans="1:19" ht="15">
      <c r="A1152" s="1">
        <v>64</v>
      </c>
      <c r="B1152" s="1" t="s">
        <v>91</v>
      </c>
      <c r="C1152" s="1" t="s">
        <v>78</v>
      </c>
      <c r="D1152" s="1">
        <v>2026</v>
      </c>
      <c r="E1152" s="1" t="s">
        <v>22</v>
      </c>
      <c r="F1152" s="1">
        <v>147981991</v>
      </c>
      <c r="G1152" s="1">
        <v>74181373</v>
      </c>
      <c r="H1152" s="1">
        <v>73800618</v>
      </c>
      <c r="I1152" s="1">
        <v>13329384</v>
      </c>
      <c r="J1152" s="1">
        <v>743780</v>
      </c>
      <c r="K1152" s="1">
        <v>9.01</v>
      </c>
      <c r="L1152" s="1">
        <v>14.83</v>
      </c>
      <c r="M1152" s="1">
        <v>25.31</v>
      </c>
      <c r="N1152" s="1">
        <v>13.86</v>
      </c>
      <c r="O1152" s="1">
        <v>35.44</v>
      </c>
      <c r="P1152" s="1">
        <v>15</v>
      </c>
      <c r="Q1152" s="1">
        <v>651.24</v>
      </c>
      <c r="R1152" s="1">
        <v>48</v>
      </c>
      <c r="S1152" s="1">
        <v>71.3</v>
      </c>
    </row>
    <row r="1153" spans="1:19" ht="15">
      <c r="A1153" s="1">
        <v>64</v>
      </c>
      <c r="B1153" s="1" t="s">
        <v>91</v>
      </c>
      <c r="C1153" s="1" t="s">
        <v>78</v>
      </c>
      <c r="D1153" s="1">
        <v>2026</v>
      </c>
      <c r="E1153" s="1" t="s">
        <v>23</v>
      </c>
      <c r="F1153" s="1">
        <v>174927320</v>
      </c>
      <c r="G1153" s="1">
        <v>89999485</v>
      </c>
      <c r="H1153" s="1">
        <v>84927835</v>
      </c>
      <c r="I1153" s="1">
        <v>15683238</v>
      </c>
      <c r="J1153" s="1">
        <v>1208721</v>
      </c>
      <c r="K1153" s="1">
        <v>8.9700000000000006</v>
      </c>
      <c r="L1153" s="1">
        <v>26.67</v>
      </c>
      <c r="M1153" s="1">
        <v>30.1</v>
      </c>
      <c r="N1153" s="1">
        <v>14.03</v>
      </c>
      <c r="O1153" s="1">
        <v>35.51</v>
      </c>
      <c r="P1153" s="1">
        <v>22.44</v>
      </c>
      <c r="Q1153" s="1">
        <v>9459.7999999999993</v>
      </c>
      <c r="R1153" s="1">
        <v>66</v>
      </c>
      <c r="S1153" s="1">
        <v>76.2</v>
      </c>
    </row>
    <row r="1154" spans="1:19" ht="15">
      <c r="A1154" s="1">
        <v>65</v>
      </c>
      <c r="B1154" s="1" t="s">
        <v>92</v>
      </c>
      <c r="C1154" s="1" t="s">
        <v>78</v>
      </c>
      <c r="D1154" s="1">
        <v>2021</v>
      </c>
      <c r="E1154" s="1" t="s">
        <v>21</v>
      </c>
      <c r="F1154" s="1">
        <v>16965512</v>
      </c>
      <c r="G1154" s="1">
        <v>8652520</v>
      </c>
      <c r="H1154" s="1">
        <v>8312992</v>
      </c>
      <c r="I1154" s="1">
        <v>1140049</v>
      </c>
      <c r="J1154" s="1">
        <v>46562</v>
      </c>
      <c r="K1154" s="1">
        <v>6.72</v>
      </c>
      <c r="L1154" s="1">
        <v>28.54</v>
      </c>
      <c r="M1154" s="1">
        <v>17.170000000000002</v>
      </c>
      <c r="N1154" s="1">
        <v>5.0999999999999996</v>
      </c>
      <c r="O1154" s="1">
        <v>20.25</v>
      </c>
      <c r="P1154" s="1">
        <v>34.200000000000003</v>
      </c>
      <c r="Q1154" s="1">
        <v>4290.1099999999997</v>
      </c>
      <c r="R1154" s="1">
        <v>40</v>
      </c>
      <c r="S1154" s="1">
        <v>65.5</v>
      </c>
    </row>
    <row r="1155" spans="1:19" ht="15">
      <c r="A1155" s="1">
        <v>65</v>
      </c>
      <c r="B1155" s="1" t="s">
        <v>92</v>
      </c>
      <c r="C1155" s="1" t="s">
        <v>78</v>
      </c>
      <c r="D1155" s="1">
        <v>2021</v>
      </c>
      <c r="E1155" s="1" t="s">
        <v>22</v>
      </c>
      <c r="F1155" s="1">
        <v>34675484</v>
      </c>
      <c r="G1155" s="1">
        <v>17753336</v>
      </c>
      <c r="H1155" s="1">
        <v>16922148</v>
      </c>
      <c r="I1155" s="1">
        <v>2849435</v>
      </c>
      <c r="J1155" s="1">
        <v>136030</v>
      </c>
      <c r="K1155" s="1">
        <v>8.2200000000000006</v>
      </c>
      <c r="L1155" s="1">
        <v>27.3</v>
      </c>
      <c r="M1155" s="1">
        <v>30.85</v>
      </c>
      <c r="N1155" s="1">
        <v>9.1300000000000008</v>
      </c>
      <c r="O1155" s="1">
        <v>20.43</v>
      </c>
      <c r="P1155" s="1">
        <v>34.840000000000003</v>
      </c>
      <c r="Q1155" s="1">
        <v>11090.76</v>
      </c>
      <c r="R1155" s="1">
        <v>71</v>
      </c>
      <c r="S1155" s="1">
        <v>66.599999999999994</v>
      </c>
    </row>
    <row r="1156" spans="1:19" ht="15">
      <c r="A1156" s="1">
        <v>65</v>
      </c>
      <c r="B1156" s="1" t="s">
        <v>92</v>
      </c>
      <c r="C1156" s="1" t="s">
        <v>78</v>
      </c>
      <c r="D1156" s="1">
        <v>2021</v>
      </c>
      <c r="E1156" s="1" t="s">
        <v>23</v>
      </c>
      <c r="F1156" s="1">
        <v>171261158</v>
      </c>
      <c r="G1156" s="1">
        <v>87907156</v>
      </c>
      <c r="H1156" s="1">
        <v>83354002</v>
      </c>
      <c r="I1156" s="1">
        <v>14043962</v>
      </c>
      <c r="J1156" s="1">
        <v>853876</v>
      </c>
      <c r="K1156" s="1">
        <v>8.1999999999999993</v>
      </c>
      <c r="L1156" s="1">
        <v>13.55</v>
      </c>
      <c r="M1156" s="1">
        <v>22.74</v>
      </c>
      <c r="N1156" s="1">
        <v>9.02</v>
      </c>
      <c r="O1156" s="1">
        <v>35.26</v>
      </c>
      <c r="P1156" s="1">
        <v>20.84</v>
      </c>
      <c r="Q1156" s="1">
        <v>5849.69</v>
      </c>
      <c r="R1156" s="1">
        <v>65</v>
      </c>
      <c r="S1156" s="1">
        <v>82.1</v>
      </c>
    </row>
    <row r="1157" spans="1:19" ht="15">
      <c r="A1157" s="1">
        <v>65</v>
      </c>
      <c r="B1157" s="1" t="s">
        <v>92</v>
      </c>
      <c r="C1157" s="1" t="s">
        <v>78</v>
      </c>
      <c r="D1157" s="1">
        <v>2022</v>
      </c>
      <c r="E1157" s="1" t="s">
        <v>21</v>
      </c>
      <c r="F1157" s="1">
        <v>161196928</v>
      </c>
      <c r="G1157" s="1">
        <v>81502938</v>
      </c>
      <c r="H1157" s="1">
        <v>79693990</v>
      </c>
      <c r="I1157" s="1">
        <v>9078364</v>
      </c>
      <c r="J1157" s="1">
        <v>647970</v>
      </c>
      <c r="K1157" s="1">
        <v>5.63</v>
      </c>
      <c r="L1157" s="1">
        <v>25.9</v>
      </c>
      <c r="M1157" s="1">
        <v>27.49</v>
      </c>
      <c r="N1157" s="1">
        <v>5.28</v>
      </c>
      <c r="O1157" s="1">
        <v>38.82</v>
      </c>
      <c r="P1157" s="1">
        <v>38.44</v>
      </c>
      <c r="Q1157" s="1">
        <v>2686.13</v>
      </c>
      <c r="R1157" s="1">
        <v>74</v>
      </c>
      <c r="S1157" s="1">
        <v>69.7</v>
      </c>
    </row>
    <row r="1158" spans="1:19" ht="15">
      <c r="A1158" s="1">
        <v>65</v>
      </c>
      <c r="B1158" s="1" t="s">
        <v>92</v>
      </c>
      <c r="C1158" s="1" t="s">
        <v>78</v>
      </c>
      <c r="D1158" s="1">
        <v>2022</v>
      </c>
      <c r="E1158" s="1" t="s">
        <v>22</v>
      </c>
      <c r="F1158" s="1">
        <v>181772951</v>
      </c>
      <c r="G1158" s="1">
        <v>87801066</v>
      </c>
      <c r="H1158" s="1">
        <v>93971885</v>
      </c>
      <c r="I1158" s="1">
        <v>11211248</v>
      </c>
      <c r="J1158" s="1">
        <v>696886</v>
      </c>
      <c r="K1158" s="1">
        <v>6.17</v>
      </c>
      <c r="L1158" s="1">
        <v>29.39</v>
      </c>
      <c r="M1158" s="1">
        <v>34.07</v>
      </c>
      <c r="N1158" s="1">
        <v>9.74</v>
      </c>
      <c r="O1158" s="1">
        <v>26.93</v>
      </c>
      <c r="P1158" s="1">
        <v>31.62</v>
      </c>
      <c r="Q1158" s="1">
        <v>3459.47</v>
      </c>
      <c r="R1158" s="1">
        <v>48</v>
      </c>
      <c r="S1158" s="1">
        <v>73.5</v>
      </c>
    </row>
    <row r="1159" spans="1:19" ht="15">
      <c r="A1159" s="1">
        <v>65</v>
      </c>
      <c r="B1159" s="1" t="s">
        <v>92</v>
      </c>
      <c r="C1159" s="1" t="s">
        <v>78</v>
      </c>
      <c r="D1159" s="1">
        <v>2022</v>
      </c>
      <c r="E1159" s="1" t="s">
        <v>23</v>
      </c>
      <c r="F1159" s="1">
        <v>74406657</v>
      </c>
      <c r="G1159" s="1">
        <v>37891598</v>
      </c>
      <c r="H1159" s="1">
        <v>36515059</v>
      </c>
      <c r="I1159" s="1">
        <v>5834749</v>
      </c>
      <c r="J1159" s="1">
        <v>178093</v>
      </c>
      <c r="K1159" s="1">
        <v>7.84</v>
      </c>
      <c r="L1159" s="1">
        <v>21.93</v>
      </c>
      <c r="M1159" s="1">
        <v>34.090000000000003</v>
      </c>
      <c r="N1159" s="1">
        <v>5.31</v>
      </c>
      <c r="O1159" s="1">
        <v>28.37</v>
      </c>
      <c r="P1159" s="1">
        <v>15.45</v>
      </c>
      <c r="Q1159" s="1">
        <v>5062.68</v>
      </c>
      <c r="R1159" s="1">
        <v>80</v>
      </c>
      <c r="S1159" s="1">
        <v>61.9</v>
      </c>
    </row>
    <row r="1160" spans="1:19" ht="15">
      <c r="A1160" s="1">
        <v>65</v>
      </c>
      <c r="B1160" s="1" t="s">
        <v>92</v>
      </c>
      <c r="C1160" s="1" t="s">
        <v>78</v>
      </c>
      <c r="D1160" s="1">
        <v>2023</v>
      </c>
      <c r="E1160" s="1" t="s">
        <v>21</v>
      </c>
      <c r="F1160" s="1">
        <v>44751418</v>
      </c>
      <c r="G1160" s="1">
        <v>22848245</v>
      </c>
      <c r="H1160" s="1">
        <v>21903173</v>
      </c>
      <c r="I1160" s="1">
        <v>2312590</v>
      </c>
      <c r="J1160" s="1">
        <v>161846</v>
      </c>
      <c r="K1160" s="1">
        <v>5.17</v>
      </c>
      <c r="L1160" s="1">
        <v>23.73</v>
      </c>
      <c r="M1160" s="1">
        <v>31.68</v>
      </c>
      <c r="N1160" s="1">
        <v>5.41</v>
      </c>
      <c r="O1160" s="1">
        <v>25.29</v>
      </c>
      <c r="P1160" s="1">
        <v>28</v>
      </c>
      <c r="Q1160" s="1">
        <v>6012.28</v>
      </c>
      <c r="R1160" s="1">
        <v>70</v>
      </c>
      <c r="S1160" s="1">
        <v>70.900000000000006</v>
      </c>
    </row>
    <row r="1161" spans="1:19" ht="15">
      <c r="A1161" s="1">
        <v>65</v>
      </c>
      <c r="B1161" s="1" t="s">
        <v>92</v>
      </c>
      <c r="C1161" s="1" t="s">
        <v>78</v>
      </c>
      <c r="D1161" s="1">
        <v>2023</v>
      </c>
      <c r="E1161" s="1" t="s">
        <v>22</v>
      </c>
      <c r="F1161" s="1">
        <v>5433978</v>
      </c>
      <c r="G1161" s="1">
        <v>2682762</v>
      </c>
      <c r="H1161" s="1">
        <v>2751216</v>
      </c>
      <c r="I1161" s="1">
        <v>514760</v>
      </c>
      <c r="J1161" s="1">
        <v>22193</v>
      </c>
      <c r="K1161" s="1">
        <v>9.4700000000000006</v>
      </c>
      <c r="L1161" s="1">
        <v>10.99</v>
      </c>
      <c r="M1161" s="1">
        <v>14.4</v>
      </c>
      <c r="N1161" s="1">
        <v>8.02</v>
      </c>
      <c r="O1161" s="1">
        <v>25.34</v>
      </c>
      <c r="P1161" s="1">
        <v>29.16</v>
      </c>
      <c r="Q1161" s="1">
        <v>3552.66</v>
      </c>
      <c r="R1161" s="1">
        <v>67</v>
      </c>
      <c r="S1161" s="1">
        <v>64</v>
      </c>
    </row>
    <row r="1162" spans="1:19" ht="15">
      <c r="A1162" s="1">
        <v>65</v>
      </c>
      <c r="B1162" s="1" t="s">
        <v>92</v>
      </c>
      <c r="C1162" s="1" t="s">
        <v>78</v>
      </c>
      <c r="D1162" s="1">
        <v>2023</v>
      </c>
      <c r="E1162" s="1" t="s">
        <v>23</v>
      </c>
      <c r="F1162" s="1">
        <v>31970219</v>
      </c>
      <c r="G1162" s="1">
        <v>15527834</v>
      </c>
      <c r="H1162" s="1">
        <v>16442385</v>
      </c>
      <c r="I1162" s="1">
        <v>3093510</v>
      </c>
      <c r="J1162" s="1">
        <v>207182</v>
      </c>
      <c r="K1162" s="1">
        <v>9.68</v>
      </c>
      <c r="L1162" s="1">
        <v>26.64</v>
      </c>
      <c r="M1162" s="1">
        <v>11.41</v>
      </c>
      <c r="N1162" s="1">
        <v>9.3699999999999992</v>
      </c>
      <c r="O1162" s="1">
        <v>31.41</v>
      </c>
      <c r="P1162" s="1">
        <v>26.9</v>
      </c>
      <c r="Q1162" s="1">
        <v>1402.6</v>
      </c>
      <c r="R1162" s="1">
        <v>52</v>
      </c>
      <c r="S1162" s="1">
        <v>72.099999999999994</v>
      </c>
    </row>
    <row r="1163" spans="1:19" ht="15">
      <c r="A1163" s="1">
        <v>65</v>
      </c>
      <c r="B1163" s="1" t="s">
        <v>92</v>
      </c>
      <c r="C1163" s="1" t="s">
        <v>78</v>
      </c>
      <c r="D1163" s="1">
        <v>2024</v>
      </c>
      <c r="E1163" s="1" t="s">
        <v>21</v>
      </c>
      <c r="F1163" s="1">
        <v>53588708</v>
      </c>
      <c r="G1163" s="1">
        <v>27265444</v>
      </c>
      <c r="H1163" s="1">
        <v>26323264</v>
      </c>
      <c r="I1163" s="1">
        <v>3733091</v>
      </c>
      <c r="J1163" s="1">
        <v>219957</v>
      </c>
      <c r="K1163" s="1">
        <v>6.97</v>
      </c>
      <c r="L1163" s="1">
        <v>24.59</v>
      </c>
      <c r="M1163" s="1">
        <v>32.950000000000003</v>
      </c>
      <c r="N1163" s="1">
        <v>12.24</v>
      </c>
      <c r="O1163" s="1">
        <v>26.7</v>
      </c>
      <c r="P1163" s="1">
        <v>18.77</v>
      </c>
      <c r="Q1163" s="1">
        <v>3524.27</v>
      </c>
      <c r="R1163" s="1">
        <v>63</v>
      </c>
      <c r="S1163" s="1">
        <v>62.6</v>
      </c>
    </row>
    <row r="1164" spans="1:19" ht="15">
      <c r="A1164" s="1">
        <v>65</v>
      </c>
      <c r="B1164" s="1" t="s">
        <v>92</v>
      </c>
      <c r="C1164" s="1" t="s">
        <v>78</v>
      </c>
      <c r="D1164" s="1">
        <v>2024</v>
      </c>
      <c r="E1164" s="1" t="s">
        <v>22</v>
      </c>
      <c r="F1164" s="1">
        <v>127482003</v>
      </c>
      <c r="G1164" s="1">
        <v>65898745</v>
      </c>
      <c r="H1164" s="1">
        <v>61583258</v>
      </c>
      <c r="I1164" s="1">
        <v>7199981</v>
      </c>
      <c r="J1164" s="1">
        <v>302881</v>
      </c>
      <c r="K1164" s="1">
        <v>5.65</v>
      </c>
      <c r="L1164" s="1">
        <v>13.86</v>
      </c>
      <c r="M1164" s="1">
        <v>16.71</v>
      </c>
      <c r="N1164" s="1">
        <v>9.76</v>
      </c>
      <c r="O1164" s="1">
        <v>39.51</v>
      </c>
      <c r="P1164" s="1">
        <v>36.369999999999997</v>
      </c>
      <c r="Q1164" s="1">
        <v>5612.16</v>
      </c>
      <c r="R1164" s="1">
        <v>74</v>
      </c>
      <c r="S1164" s="1">
        <v>75.400000000000006</v>
      </c>
    </row>
    <row r="1165" spans="1:19" ht="15">
      <c r="A1165" s="1">
        <v>65</v>
      </c>
      <c r="B1165" s="1" t="s">
        <v>92</v>
      </c>
      <c r="C1165" s="1" t="s">
        <v>78</v>
      </c>
      <c r="D1165" s="1">
        <v>2024</v>
      </c>
      <c r="E1165" s="1" t="s">
        <v>23</v>
      </c>
      <c r="F1165" s="1">
        <v>80209382</v>
      </c>
      <c r="G1165" s="1">
        <v>40532432</v>
      </c>
      <c r="H1165" s="1">
        <v>39676950</v>
      </c>
      <c r="I1165" s="1">
        <v>7055983</v>
      </c>
      <c r="J1165" s="1">
        <v>342162</v>
      </c>
      <c r="K1165" s="1">
        <v>8.8000000000000007</v>
      </c>
      <c r="L1165" s="1">
        <v>13.53</v>
      </c>
      <c r="M1165" s="1">
        <v>33.159999999999997</v>
      </c>
      <c r="N1165" s="1">
        <v>5.13</v>
      </c>
      <c r="O1165" s="1">
        <v>20.3</v>
      </c>
      <c r="P1165" s="1">
        <v>25.61</v>
      </c>
      <c r="Q1165" s="1">
        <v>6283.62</v>
      </c>
      <c r="R1165" s="1">
        <v>80</v>
      </c>
      <c r="S1165" s="1">
        <v>73.5</v>
      </c>
    </row>
    <row r="1166" spans="1:19" ht="15">
      <c r="A1166" s="1">
        <v>65</v>
      </c>
      <c r="B1166" s="1" t="s">
        <v>92</v>
      </c>
      <c r="C1166" s="1" t="s">
        <v>78</v>
      </c>
      <c r="D1166" s="1">
        <v>2025</v>
      </c>
      <c r="E1166" s="1" t="s">
        <v>21</v>
      </c>
      <c r="F1166" s="1">
        <v>14519058</v>
      </c>
      <c r="G1166" s="1">
        <v>7122403</v>
      </c>
      <c r="H1166" s="1">
        <v>7396655</v>
      </c>
      <c r="I1166" s="1">
        <v>911545</v>
      </c>
      <c r="J1166" s="1">
        <v>54091</v>
      </c>
      <c r="K1166" s="1">
        <v>6.28</v>
      </c>
      <c r="L1166" s="1">
        <v>25.52</v>
      </c>
      <c r="M1166" s="1">
        <v>19.29</v>
      </c>
      <c r="N1166" s="1">
        <v>12.65</v>
      </c>
      <c r="O1166" s="1">
        <v>34.49</v>
      </c>
      <c r="P1166" s="1">
        <v>15.76</v>
      </c>
      <c r="Q1166" s="1">
        <v>1323.2</v>
      </c>
      <c r="R1166" s="1">
        <v>57</v>
      </c>
      <c r="S1166" s="1">
        <v>60.4</v>
      </c>
    </row>
    <row r="1167" spans="1:19" ht="15">
      <c r="A1167" s="1">
        <v>65</v>
      </c>
      <c r="B1167" s="1" t="s">
        <v>92</v>
      </c>
      <c r="C1167" s="1" t="s">
        <v>78</v>
      </c>
      <c r="D1167" s="1">
        <v>2025</v>
      </c>
      <c r="E1167" s="1" t="s">
        <v>22</v>
      </c>
      <c r="F1167" s="1">
        <v>133098940</v>
      </c>
      <c r="G1167" s="1">
        <v>64288167</v>
      </c>
      <c r="H1167" s="1">
        <v>68810773</v>
      </c>
      <c r="I1167" s="1">
        <v>8527776</v>
      </c>
      <c r="J1167" s="1">
        <v>401485</v>
      </c>
      <c r="K1167" s="1">
        <v>6.41</v>
      </c>
      <c r="L1167" s="1">
        <v>27.19</v>
      </c>
      <c r="M1167" s="1">
        <v>29.67</v>
      </c>
      <c r="N1167" s="1">
        <v>9.75</v>
      </c>
      <c r="O1167" s="1">
        <v>23.6</v>
      </c>
      <c r="P1167" s="1">
        <v>16.18</v>
      </c>
      <c r="Q1167" s="1">
        <v>8684.24</v>
      </c>
      <c r="R1167" s="1">
        <v>80</v>
      </c>
      <c r="S1167" s="1">
        <v>62.5</v>
      </c>
    </row>
    <row r="1168" spans="1:19" ht="15">
      <c r="A1168" s="1">
        <v>65</v>
      </c>
      <c r="B1168" s="1" t="s">
        <v>92</v>
      </c>
      <c r="C1168" s="1" t="s">
        <v>78</v>
      </c>
      <c r="D1168" s="1">
        <v>2025</v>
      </c>
      <c r="E1168" s="1" t="s">
        <v>23</v>
      </c>
      <c r="F1168" s="1">
        <v>67485265</v>
      </c>
      <c r="G1168" s="1">
        <v>34685181</v>
      </c>
      <c r="H1168" s="1">
        <v>32800084</v>
      </c>
      <c r="I1168" s="1">
        <v>6696509</v>
      </c>
      <c r="J1168" s="1">
        <v>394628</v>
      </c>
      <c r="K1168" s="1">
        <v>9.92</v>
      </c>
      <c r="L1168" s="1">
        <v>10.62</v>
      </c>
      <c r="M1168" s="1">
        <v>17.5</v>
      </c>
      <c r="N1168" s="1">
        <v>8.26</v>
      </c>
      <c r="O1168" s="1">
        <v>33.700000000000003</v>
      </c>
      <c r="P1168" s="1">
        <v>35.049999999999997</v>
      </c>
      <c r="Q1168" s="1">
        <v>1825.32</v>
      </c>
      <c r="R1168" s="1">
        <v>74</v>
      </c>
      <c r="S1168" s="1">
        <v>69.2</v>
      </c>
    </row>
    <row r="1169" spans="1:19" ht="15">
      <c r="A1169" s="1">
        <v>65</v>
      </c>
      <c r="B1169" s="1" t="s">
        <v>92</v>
      </c>
      <c r="C1169" s="1" t="s">
        <v>78</v>
      </c>
      <c r="D1169" s="1">
        <v>2026</v>
      </c>
      <c r="E1169" s="1" t="s">
        <v>21</v>
      </c>
      <c r="F1169" s="1">
        <v>171252624</v>
      </c>
      <c r="G1169" s="1">
        <v>82351376</v>
      </c>
      <c r="H1169" s="1">
        <v>88901248</v>
      </c>
      <c r="I1169" s="1">
        <v>11566782</v>
      </c>
      <c r="J1169" s="1">
        <v>420114</v>
      </c>
      <c r="K1169" s="1">
        <v>6.75</v>
      </c>
      <c r="L1169" s="1">
        <v>18.95</v>
      </c>
      <c r="M1169" s="1">
        <v>16.64</v>
      </c>
      <c r="N1169" s="1">
        <v>11.61</v>
      </c>
      <c r="O1169" s="1">
        <v>30.39</v>
      </c>
      <c r="P1169" s="1">
        <v>35.92</v>
      </c>
      <c r="Q1169" s="1">
        <v>4118.07</v>
      </c>
      <c r="R1169" s="1">
        <v>56</v>
      </c>
      <c r="S1169" s="1">
        <v>63.1</v>
      </c>
    </row>
    <row r="1170" spans="1:19" ht="15">
      <c r="A1170" s="1">
        <v>65</v>
      </c>
      <c r="B1170" s="1" t="s">
        <v>92</v>
      </c>
      <c r="C1170" s="1" t="s">
        <v>78</v>
      </c>
      <c r="D1170" s="1">
        <v>2026</v>
      </c>
      <c r="E1170" s="1" t="s">
        <v>22</v>
      </c>
      <c r="F1170" s="1">
        <v>90919640</v>
      </c>
      <c r="G1170" s="1">
        <v>47023512</v>
      </c>
      <c r="H1170" s="1">
        <v>43896128</v>
      </c>
      <c r="I1170" s="1">
        <v>7333859</v>
      </c>
      <c r="J1170" s="1">
        <v>275890</v>
      </c>
      <c r="K1170" s="1">
        <v>8.07</v>
      </c>
      <c r="L1170" s="1">
        <v>23.95</v>
      </c>
      <c r="M1170" s="1">
        <v>12.45</v>
      </c>
      <c r="N1170" s="1">
        <v>5.82</v>
      </c>
      <c r="O1170" s="1">
        <v>22.74</v>
      </c>
      <c r="P1170" s="1">
        <v>15.22</v>
      </c>
      <c r="Q1170" s="1">
        <v>4129.17</v>
      </c>
      <c r="R1170" s="1">
        <v>63</v>
      </c>
      <c r="S1170" s="1">
        <v>63.9</v>
      </c>
    </row>
    <row r="1171" spans="1:19" ht="15">
      <c r="A1171" s="1">
        <v>65</v>
      </c>
      <c r="B1171" s="1" t="s">
        <v>92</v>
      </c>
      <c r="C1171" s="1" t="s">
        <v>78</v>
      </c>
      <c r="D1171" s="1">
        <v>2026</v>
      </c>
      <c r="E1171" s="1" t="s">
        <v>23</v>
      </c>
      <c r="F1171" s="1">
        <v>196693426</v>
      </c>
      <c r="G1171" s="1">
        <v>101508648</v>
      </c>
      <c r="H1171" s="1">
        <v>95184778</v>
      </c>
      <c r="I1171" s="1">
        <v>14232009</v>
      </c>
      <c r="J1171" s="1">
        <v>1070700</v>
      </c>
      <c r="K1171" s="1">
        <v>7.24</v>
      </c>
      <c r="L1171" s="1">
        <v>15.76</v>
      </c>
      <c r="M1171" s="1">
        <v>31.96</v>
      </c>
      <c r="N1171" s="1">
        <v>5.07</v>
      </c>
      <c r="O1171" s="1">
        <v>24.99</v>
      </c>
      <c r="P1171" s="1">
        <v>34.409999999999997</v>
      </c>
      <c r="Q1171" s="1">
        <v>1428.58</v>
      </c>
      <c r="R1171" s="1">
        <v>47</v>
      </c>
      <c r="S1171" s="1">
        <v>67.3</v>
      </c>
    </row>
    <row r="1172" spans="1:19" ht="15">
      <c r="A1172" s="1">
        <v>66</v>
      </c>
      <c r="B1172" s="1" t="s">
        <v>93</v>
      </c>
      <c r="C1172" s="1" t="s">
        <v>78</v>
      </c>
      <c r="D1172" s="1">
        <v>2021</v>
      </c>
      <c r="E1172" s="1" t="s">
        <v>21</v>
      </c>
      <c r="F1172" s="1">
        <v>66463205</v>
      </c>
      <c r="G1172" s="1">
        <v>32732842</v>
      </c>
      <c r="H1172" s="1">
        <v>33730363</v>
      </c>
      <c r="I1172" s="1">
        <v>6317455</v>
      </c>
      <c r="J1172" s="1">
        <v>368615</v>
      </c>
      <c r="K1172" s="1">
        <v>9.51</v>
      </c>
      <c r="L1172" s="1">
        <v>10.89</v>
      </c>
      <c r="M1172" s="1">
        <v>10.55</v>
      </c>
      <c r="N1172" s="1">
        <v>8.08</v>
      </c>
      <c r="O1172" s="1">
        <v>25.58</v>
      </c>
      <c r="P1172" s="1">
        <v>34.6</v>
      </c>
      <c r="Q1172" s="1">
        <v>8164.11</v>
      </c>
      <c r="R1172" s="1">
        <v>43</v>
      </c>
      <c r="S1172" s="1">
        <v>61.7</v>
      </c>
    </row>
    <row r="1173" spans="1:19" ht="15">
      <c r="A1173" s="1">
        <v>66</v>
      </c>
      <c r="B1173" s="1" t="s">
        <v>93</v>
      </c>
      <c r="C1173" s="1" t="s">
        <v>78</v>
      </c>
      <c r="D1173" s="1">
        <v>2021</v>
      </c>
      <c r="E1173" s="1" t="s">
        <v>22</v>
      </c>
      <c r="F1173" s="1">
        <v>59721736</v>
      </c>
      <c r="G1173" s="1">
        <v>30090486</v>
      </c>
      <c r="H1173" s="1">
        <v>29631250</v>
      </c>
      <c r="I1173" s="1">
        <v>5555641</v>
      </c>
      <c r="J1173" s="1">
        <v>210560</v>
      </c>
      <c r="K1173" s="1">
        <v>9.3000000000000007</v>
      </c>
      <c r="L1173" s="1">
        <v>15.46</v>
      </c>
      <c r="M1173" s="1">
        <v>20.54</v>
      </c>
      <c r="N1173" s="1">
        <v>10.3</v>
      </c>
      <c r="O1173" s="1">
        <v>39.770000000000003</v>
      </c>
      <c r="P1173" s="1">
        <v>38.86</v>
      </c>
      <c r="Q1173" s="1">
        <v>9429.76</v>
      </c>
      <c r="R1173" s="1">
        <v>78</v>
      </c>
      <c r="S1173" s="1">
        <v>61.1</v>
      </c>
    </row>
    <row r="1174" spans="1:19" ht="15">
      <c r="A1174" s="1">
        <v>66</v>
      </c>
      <c r="B1174" s="1" t="s">
        <v>93</v>
      </c>
      <c r="C1174" s="1" t="s">
        <v>78</v>
      </c>
      <c r="D1174" s="1">
        <v>2021</v>
      </c>
      <c r="E1174" s="1" t="s">
        <v>23</v>
      </c>
      <c r="F1174" s="1">
        <v>131322992</v>
      </c>
      <c r="G1174" s="1">
        <v>67091222</v>
      </c>
      <c r="H1174" s="1">
        <v>64231770</v>
      </c>
      <c r="I1174" s="1">
        <v>12135364</v>
      </c>
      <c r="J1174" s="1">
        <v>660904</v>
      </c>
      <c r="K1174" s="1">
        <v>9.24</v>
      </c>
      <c r="L1174" s="1">
        <v>23.76</v>
      </c>
      <c r="M1174" s="1">
        <v>15.1</v>
      </c>
      <c r="N1174" s="1">
        <v>5.46</v>
      </c>
      <c r="O1174" s="1">
        <v>21.21</v>
      </c>
      <c r="P1174" s="1">
        <v>38.75</v>
      </c>
      <c r="Q1174" s="1">
        <v>10932.17</v>
      </c>
      <c r="R1174" s="1">
        <v>47</v>
      </c>
      <c r="S1174" s="1">
        <v>63.5</v>
      </c>
    </row>
    <row r="1175" spans="1:19" ht="15">
      <c r="A1175" s="1">
        <v>66</v>
      </c>
      <c r="B1175" s="1" t="s">
        <v>93</v>
      </c>
      <c r="C1175" s="1" t="s">
        <v>78</v>
      </c>
      <c r="D1175" s="1">
        <v>2022</v>
      </c>
      <c r="E1175" s="1" t="s">
        <v>21</v>
      </c>
      <c r="F1175" s="1">
        <v>158906552</v>
      </c>
      <c r="G1175" s="1">
        <v>77718706</v>
      </c>
      <c r="H1175" s="1">
        <v>81187846</v>
      </c>
      <c r="I1175" s="1">
        <v>9770226</v>
      </c>
      <c r="J1175" s="1">
        <v>329629</v>
      </c>
      <c r="K1175" s="1">
        <v>6.15</v>
      </c>
      <c r="L1175" s="1">
        <v>27.47</v>
      </c>
      <c r="M1175" s="1">
        <v>17.72</v>
      </c>
      <c r="N1175" s="1">
        <v>9.0299999999999994</v>
      </c>
      <c r="O1175" s="1">
        <v>32.81</v>
      </c>
      <c r="P1175" s="1">
        <v>15.73</v>
      </c>
      <c r="Q1175" s="1">
        <v>4837.99</v>
      </c>
      <c r="R1175" s="1">
        <v>76</v>
      </c>
      <c r="S1175" s="1">
        <v>70.599999999999994</v>
      </c>
    </row>
    <row r="1176" spans="1:19" ht="15">
      <c r="A1176" s="1">
        <v>66</v>
      </c>
      <c r="B1176" s="1" t="s">
        <v>93</v>
      </c>
      <c r="C1176" s="1" t="s">
        <v>78</v>
      </c>
      <c r="D1176" s="1">
        <v>2022</v>
      </c>
      <c r="E1176" s="1" t="s">
        <v>22</v>
      </c>
      <c r="F1176" s="1">
        <v>19148689</v>
      </c>
      <c r="G1176" s="1">
        <v>9762063</v>
      </c>
      <c r="H1176" s="1">
        <v>9386626</v>
      </c>
      <c r="I1176" s="1">
        <v>1825233</v>
      </c>
      <c r="J1176" s="1">
        <v>113264</v>
      </c>
      <c r="K1176" s="1">
        <v>9.5299999999999994</v>
      </c>
      <c r="L1176" s="1">
        <v>13.17</v>
      </c>
      <c r="M1176" s="1">
        <v>14</v>
      </c>
      <c r="N1176" s="1">
        <v>5.92</v>
      </c>
      <c r="O1176" s="1">
        <v>24.06</v>
      </c>
      <c r="P1176" s="1">
        <v>26.76</v>
      </c>
      <c r="Q1176" s="1">
        <v>9577.77</v>
      </c>
      <c r="R1176" s="1">
        <v>43</v>
      </c>
      <c r="S1176" s="1">
        <v>69.5</v>
      </c>
    </row>
    <row r="1177" spans="1:19" ht="15">
      <c r="A1177" s="1">
        <v>66</v>
      </c>
      <c r="B1177" s="1" t="s">
        <v>93</v>
      </c>
      <c r="C1177" s="1" t="s">
        <v>78</v>
      </c>
      <c r="D1177" s="1">
        <v>2022</v>
      </c>
      <c r="E1177" s="1" t="s">
        <v>23</v>
      </c>
      <c r="F1177" s="1">
        <v>126095494</v>
      </c>
      <c r="G1177" s="1">
        <v>61417168</v>
      </c>
      <c r="H1177" s="1">
        <v>64678326</v>
      </c>
      <c r="I1177" s="1">
        <v>12085998</v>
      </c>
      <c r="J1177" s="1">
        <v>561303</v>
      </c>
      <c r="K1177" s="1">
        <v>9.58</v>
      </c>
      <c r="L1177" s="1">
        <v>14.67</v>
      </c>
      <c r="M1177" s="1">
        <v>18.559999999999999</v>
      </c>
      <c r="N1177" s="1">
        <v>14.81</v>
      </c>
      <c r="O1177" s="1">
        <v>23.05</v>
      </c>
      <c r="P1177" s="1">
        <v>30.98</v>
      </c>
      <c r="Q1177" s="1">
        <v>2466.75</v>
      </c>
      <c r="R1177" s="1">
        <v>45</v>
      </c>
      <c r="S1177" s="1">
        <v>64.099999999999994</v>
      </c>
    </row>
    <row r="1178" spans="1:19" ht="15">
      <c r="A1178" s="1">
        <v>66</v>
      </c>
      <c r="B1178" s="1" t="s">
        <v>93</v>
      </c>
      <c r="C1178" s="1" t="s">
        <v>78</v>
      </c>
      <c r="D1178" s="1">
        <v>2023</v>
      </c>
      <c r="E1178" s="1" t="s">
        <v>21</v>
      </c>
      <c r="F1178" s="1">
        <v>75793129</v>
      </c>
      <c r="G1178" s="1">
        <v>36627223</v>
      </c>
      <c r="H1178" s="1">
        <v>39165906</v>
      </c>
      <c r="I1178" s="1">
        <v>7124593</v>
      </c>
      <c r="J1178" s="1">
        <v>355812</v>
      </c>
      <c r="K1178" s="1">
        <v>9.4</v>
      </c>
      <c r="L1178" s="1">
        <v>15.97</v>
      </c>
      <c r="M1178" s="1">
        <v>33.72</v>
      </c>
      <c r="N1178" s="1">
        <v>11.39</v>
      </c>
      <c r="O1178" s="1">
        <v>21.44</v>
      </c>
      <c r="P1178" s="1">
        <v>19.34</v>
      </c>
      <c r="Q1178" s="1">
        <v>5163.79</v>
      </c>
      <c r="R1178" s="1">
        <v>60</v>
      </c>
      <c r="S1178" s="1">
        <v>70.7</v>
      </c>
    </row>
    <row r="1179" spans="1:19" ht="15">
      <c r="A1179" s="1">
        <v>66</v>
      </c>
      <c r="B1179" s="1" t="s">
        <v>93</v>
      </c>
      <c r="C1179" s="1" t="s">
        <v>78</v>
      </c>
      <c r="D1179" s="1">
        <v>2023</v>
      </c>
      <c r="E1179" s="1" t="s">
        <v>22</v>
      </c>
      <c r="F1179" s="1">
        <v>128174044</v>
      </c>
      <c r="G1179" s="1">
        <v>64203724</v>
      </c>
      <c r="H1179" s="1">
        <v>63970320</v>
      </c>
      <c r="I1179" s="1">
        <v>10365271</v>
      </c>
      <c r="J1179" s="1">
        <v>511550</v>
      </c>
      <c r="K1179" s="1">
        <v>8.09</v>
      </c>
      <c r="L1179" s="1">
        <v>17.559999999999999</v>
      </c>
      <c r="M1179" s="1">
        <v>13.53</v>
      </c>
      <c r="N1179" s="1">
        <v>9.6199999999999992</v>
      </c>
      <c r="O1179" s="1">
        <v>38.44</v>
      </c>
      <c r="P1179" s="1">
        <v>30.4</v>
      </c>
      <c r="Q1179" s="1">
        <v>4568.33</v>
      </c>
      <c r="R1179" s="1">
        <v>64</v>
      </c>
      <c r="S1179" s="1">
        <v>80.400000000000006</v>
      </c>
    </row>
    <row r="1180" spans="1:19" ht="15">
      <c r="A1180" s="1">
        <v>66</v>
      </c>
      <c r="B1180" s="1" t="s">
        <v>93</v>
      </c>
      <c r="C1180" s="1" t="s">
        <v>78</v>
      </c>
      <c r="D1180" s="1">
        <v>2023</v>
      </c>
      <c r="E1180" s="1" t="s">
        <v>23</v>
      </c>
      <c r="F1180" s="1">
        <v>34425470</v>
      </c>
      <c r="G1180" s="1">
        <v>17307085</v>
      </c>
      <c r="H1180" s="1">
        <v>17118385</v>
      </c>
      <c r="I1180" s="1">
        <v>2163657</v>
      </c>
      <c r="J1180" s="1">
        <v>125130</v>
      </c>
      <c r="K1180" s="1">
        <v>6.29</v>
      </c>
      <c r="L1180" s="1">
        <v>28.96</v>
      </c>
      <c r="M1180" s="1">
        <v>33.57</v>
      </c>
      <c r="N1180" s="1">
        <v>10.47</v>
      </c>
      <c r="O1180" s="1">
        <v>30.91</v>
      </c>
      <c r="P1180" s="1">
        <v>29.09</v>
      </c>
      <c r="Q1180" s="1">
        <v>6169.02</v>
      </c>
      <c r="R1180" s="1">
        <v>71</v>
      </c>
      <c r="S1180" s="1">
        <v>69.900000000000006</v>
      </c>
    </row>
    <row r="1181" spans="1:19" ht="15">
      <c r="A1181" s="1">
        <v>66</v>
      </c>
      <c r="B1181" s="1" t="s">
        <v>93</v>
      </c>
      <c r="C1181" s="1" t="s">
        <v>78</v>
      </c>
      <c r="D1181" s="1">
        <v>2024</v>
      </c>
      <c r="E1181" s="1" t="s">
        <v>21</v>
      </c>
      <c r="F1181" s="1">
        <v>198606572</v>
      </c>
      <c r="G1181" s="1">
        <v>103037706</v>
      </c>
      <c r="H1181" s="1">
        <v>95568866</v>
      </c>
      <c r="I1181" s="1">
        <v>11056130</v>
      </c>
      <c r="J1181" s="1">
        <v>759551</v>
      </c>
      <c r="K1181" s="1">
        <v>5.57</v>
      </c>
      <c r="L1181" s="1">
        <v>16.04</v>
      </c>
      <c r="M1181" s="1">
        <v>33.19</v>
      </c>
      <c r="N1181" s="1">
        <v>12.64</v>
      </c>
      <c r="O1181" s="1">
        <v>37.409999999999997</v>
      </c>
      <c r="P1181" s="1">
        <v>23.06</v>
      </c>
      <c r="Q1181" s="1">
        <v>970.53</v>
      </c>
      <c r="R1181" s="1">
        <v>72</v>
      </c>
      <c r="S1181" s="1">
        <v>67.8</v>
      </c>
    </row>
    <row r="1182" spans="1:19" ht="15">
      <c r="A1182" s="1">
        <v>66</v>
      </c>
      <c r="B1182" s="1" t="s">
        <v>93</v>
      </c>
      <c r="C1182" s="1" t="s">
        <v>78</v>
      </c>
      <c r="D1182" s="1">
        <v>2024</v>
      </c>
      <c r="E1182" s="1" t="s">
        <v>22</v>
      </c>
      <c r="F1182" s="1">
        <v>146457349</v>
      </c>
      <c r="G1182" s="1">
        <v>74144522</v>
      </c>
      <c r="H1182" s="1">
        <v>72312827</v>
      </c>
      <c r="I1182" s="1">
        <v>8423786</v>
      </c>
      <c r="J1182" s="1">
        <v>399397</v>
      </c>
      <c r="K1182" s="1">
        <v>5.75</v>
      </c>
      <c r="L1182" s="1">
        <v>20.67</v>
      </c>
      <c r="M1182" s="1">
        <v>27.37</v>
      </c>
      <c r="N1182" s="1">
        <v>11.96</v>
      </c>
      <c r="O1182" s="1">
        <v>24.2</v>
      </c>
      <c r="P1182" s="1">
        <v>28.81</v>
      </c>
      <c r="Q1182" s="1">
        <v>1838.26</v>
      </c>
      <c r="R1182" s="1">
        <v>53</v>
      </c>
      <c r="S1182" s="1">
        <v>75.900000000000006</v>
      </c>
    </row>
    <row r="1183" spans="1:19" ht="15">
      <c r="A1183" s="1">
        <v>66</v>
      </c>
      <c r="B1183" s="1" t="s">
        <v>93</v>
      </c>
      <c r="C1183" s="1" t="s">
        <v>78</v>
      </c>
      <c r="D1183" s="1">
        <v>2024</v>
      </c>
      <c r="E1183" s="1" t="s">
        <v>23</v>
      </c>
      <c r="F1183" s="1">
        <v>19097902</v>
      </c>
      <c r="G1183" s="1">
        <v>9548996</v>
      </c>
      <c r="H1183" s="1">
        <v>9548906</v>
      </c>
      <c r="I1183" s="1">
        <v>1631941</v>
      </c>
      <c r="J1183" s="1">
        <v>98184</v>
      </c>
      <c r="K1183" s="1">
        <v>8.5500000000000007</v>
      </c>
      <c r="L1183" s="1">
        <v>17.18</v>
      </c>
      <c r="M1183" s="1">
        <v>19.940000000000001</v>
      </c>
      <c r="N1183" s="1">
        <v>5.71</v>
      </c>
      <c r="O1183" s="1">
        <v>35.36</v>
      </c>
      <c r="P1183" s="1">
        <v>20.99</v>
      </c>
      <c r="Q1183" s="1">
        <v>6491.45</v>
      </c>
      <c r="R1183" s="1">
        <v>41</v>
      </c>
      <c r="S1183" s="1">
        <v>61.9</v>
      </c>
    </row>
    <row r="1184" spans="1:19" ht="15">
      <c r="A1184" s="1">
        <v>66</v>
      </c>
      <c r="B1184" s="1" t="s">
        <v>93</v>
      </c>
      <c r="C1184" s="1" t="s">
        <v>78</v>
      </c>
      <c r="D1184" s="1">
        <v>2025</v>
      </c>
      <c r="E1184" s="1" t="s">
        <v>21</v>
      </c>
      <c r="F1184" s="1">
        <v>102393999</v>
      </c>
      <c r="G1184" s="1">
        <v>50928433</v>
      </c>
      <c r="H1184" s="1">
        <v>51465566</v>
      </c>
      <c r="I1184" s="1">
        <v>9719572</v>
      </c>
      <c r="J1184" s="1">
        <v>739683</v>
      </c>
      <c r="K1184" s="1">
        <v>9.49</v>
      </c>
      <c r="L1184" s="1">
        <v>15.24</v>
      </c>
      <c r="M1184" s="1">
        <v>19.809999999999999</v>
      </c>
      <c r="N1184" s="1">
        <v>11.04</v>
      </c>
      <c r="O1184" s="1">
        <v>28.57</v>
      </c>
      <c r="P1184" s="1">
        <v>30.67</v>
      </c>
      <c r="Q1184" s="1">
        <v>2215.6</v>
      </c>
      <c r="R1184" s="1">
        <v>65</v>
      </c>
      <c r="S1184" s="1">
        <v>68</v>
      </c>
    </row>
    <row r="1185" spans="1:19" ht="15">
      <c r="A1185" s="1">
        <v>66</v>
      </c>
      <c r="B1185" s="1" t="s">
        <v>93</v>
      </c>
      <c r="C1185" s="1" t="s">
        <v>78</v>
      </c>
      <c r="D1185" s="1">
        <v>2025</v>
      </c>
      <c r="E1185" s="1" t="s">
        <v>22</v>
      </c>
      <c r="F1185" s="1">
        <v>97709753</v>
      </c>
      <c r="G1185" s="1">
        <v>48901050</v>
      </c>
      <c r="H1185" s="1">
        <v>48808703</v>
      </c>
      <c r="I1185" s="1">
        <v>7517491</v>
      </c>
      <c r="J1185" s="1">
        <v>472683</v>
      </c>
      <c r="K1185" s="1">
        <v>7.69</v>
      </c>
      <c r="L1185" s="1">
        <v>21.4</v>
      </c>
      <c r="M1185" s="1">
        <v>26.74</v>
      </c>
      <c r="N1185" s="1">
        <v>8.0500000000000007</v>
      </c>
      <c r="O1185" s="1">
        <v>35.6</v>
      </c>
      <c r="P1185" s="1">
        <v>23.07</v>
      </c>
      <c r="Q1185" s="1">
        <v>3061.82</v>
      </c>
      <c r="R1185" s="1">
        <v>57</v>
      </c>
      <c r="S1185" s="1">
        <v>63.7</v>
      </c>
    </row>
    <row r="1186" spans="1:19" ht="15">
      <c r="A1186" s="1">
        <v>66</v>
      </c>
      <c r="B1186" s="1" t="s">
        <v>93</v>
      </c>
      <c r="C1186" s="1" t="s">
        <v>78</v>
      </c>
      <c r="D1186" s="1">
        <v>2025</v>
      </c>
      <c r="E1186" s="1" t="s">
        <v>23</v>
      </c>
      <c r="F1186" s="1">
        <v>67036063</v>
      </c>
      <c r="G1186" s="1">
        <v>33560502</v>
      </c>
      <c r="H1186" s="1">
        <v>33475561</v>
      </c>
      <c r="I1186" s="1">
        <v>3619760</v>
      </c>
      <c r="J1186" s="1">
        <v>253261</v>
      </c>
      <c r="K1186" s="1">
        <v>5.4</v>
      </c>
      <c r="L1186" s="1">
        <v>23.96</v>
      </c>
      <c r="M1186" s="1">
        <v>14.22</v>
      </c>
      <c r="N1186" s="1">
        <v>6.38</v>
      </c>
      <c r="O1186" s="1">
        <v>35.659999999999997</v>
      </c>
      <c r="P1186" s="1">
        <v>16.02</v>
      </c>
      <c r="Q1186" s="1">
        <v>3869.73</v>
      </c>
      <c r="R1186" s="1">
        <v>60</v>
      </c>
      <c r="S1186" s="1">
        <v>61.3</v>
      </c>
    </row>
    <row r="1187" spans="1:19" ht="15">
      <c r="A1187" s="1">
        <v>66</v>
      </c>
      <c r="B1187" s="1" t="s">
        <v>93</v>
      </c>
      <c r="C1187" s="1" t="s">
        <v>78</v>
      </c>
      <c r="D1187" s="1">
        <v>2026</v>
      </c>
      <c r="E1187" s="1" t="s">
        <v>21</v>
      </c>
      <c r="F1187" s="1">
        <v>160517379</v>
      </c>
      <c r="G1187" s="1">
        <v>83100162</v>
      </c>
      <c r="H1187" s="1">
        <v>77417217</v>
      </c>
      <c r="I1187" s="1">
        <v>13778227</v>
      </c>
      <c r="J1187" s="1">
        <v>539977</v>
      </c>
      <c r="K1187" s="1">
        <v>8.58</v>
      </c>
      <c r="L1187" s="1">
        <v>14.12</v>
      </c>
      <c r="M1187" s="1">
        <v>13.26</v>
      </c>
      <c r="N1187" s="1">
        <v>12.93</v>
      </c>
      <c r="O1187" s="1">
        <v>38.32</v>
      </c>
      <c r="P1187" s="1">
        <v>39.15</v>
      </c>
      <c r="Q1187" s="1">
        <v>2714.61</v>
      </c>
      <c r="R1187" s="1">
        <v>66</v>
      </c>
      <c r="S1187" s="1">
        <v>73</v>
      </c>
    </row>
    <row r="1188" spans="1:19" ht="15">
      <c r="A1188" s="1">
        <v>66</v>
      </c>
      <c r="B1188" s="1" t="s">
        <v>93</v>
      </c>
      <c r="C1188" s="1" t="s">
        <v>78</v>
      </c>
      <c r="D1188" s="1">
        <v>2026</v>
      </c>
      <c r="E1188" s="1" t="s">
        <v>22</v>
      </c>
      <c r="F1188" s="1">
        <v>171560357</v>
      </c>
      <c r="G1188" s="1">
        <v>82766040</v>
      </c>
      <c r="H1188" s="1">
        <v>88794317</v>
      </c>
      <c r="I1188" s="1">
        <v>10504897</v>
      </c>
      <c r="J1188" s="1">
        <v>391037</v>
      </c>
      <c r="K1188" s="1">
        <v>6.12</v>
      </c>
      <c r="L1188" s="1">
        <v>24.54</v>
      </c>
      <c r="M1188" s="1">
        <v>28.8</v>
      </c>
      <c r="N1188" s="1">
        <v>13.61</v>
      </c>
      <c r="O1188" s="1">
        <v>22.87</v>
      </c>
      <c r="P1188" s="1">
        <v>35.72</v>
      </c>
      <c r="Q1188" s="1">
        <v>7415.54</v>
      </c>
      <c r="R1188" s="1">
        <v>74</v>
      </c>
      <c r="S1188" s="1">
        <v>70.3</v>
      </c>
    </row>
    <row r="1189" spans="1:19" ht="15">
      <c r="A1189" s="1">
        <v>66</v>
      </c>
      <c r="B1189" s="1" t="s">
        <v>93</v>
      </c>
      <c r="C1189" s="1" t="s">
        <v>78</v>
      </c>
      <c r="D1189" s="1">
        <v>2026</v>
      </c>
      <c r="E1189" s="1" t="s">
        <v>23</v>
      </c>
      <c r="F1189" s="1">
        <v>45742667</v>
      </c>
      <c r="G1189" s="1">
        <v>21993715</v>
      </c>
      <c r="H1189" s="1">
        <v>23748952</v>
      </c>
      <c r="I1189" s="1">
        <v>4492499</v>
      </c>
      <c r="J1189" s="1">
        <v>239789</v>
      </c>
      <c r="K1189" s="1">
        <v>9.82</v>
      </c>
      <c r="L1189" s="1">
        <v>16.93</v>
      </c>
      <c r="M1189" s="1">
        <v>23.85</v>
      </c>
      <c r="N1189" s="1">
        <v>13.91</v>
      </c>
      <c r="O1189" s="1">
        <v>34.17</v>
      </c>
      <c r="P1189" s="1">
        <v>20.02</v>
      </c>
      <c r="Q1189" s="1">
        <v>3934.01</v>
      </c>
      <c r="R1189" s="1">
        <v>41</v>
      </c>
      <c r="S1189" s="1">
        <v>71.400000000000006</v>
      </c>
    </row>
    <row r="1190" spans="1:19" ht="15">
      <c r="A1190" s="1">
        <v>67</v>
      </c>
      <c r="B1190" s="1" t="s">
        <v>94</v>
      </c>
      <c r="C1190" s="1" t="s">
        <v>78</v>
      </c>
      <c r="D1190" s="1">
        <v>2021</v>
      </c>
      <c r="E1190" s="1" t="s">
        <v>21</v>
      </c>
      <c r="F1190" s="1">
        <v>32680621</v>
      </c>
      <c r="G1190" s="1">
        <v>16819226</v>
      </c>
      <c r="H1190" s="1">
        <v>15861395</v>
      </c>
      <c r="I1190" s="1">
        <v>1750820</v>
      </c>
      <c r="J1190" s="1">
        <v>137726</v>
      </c>
      <c r="K1190" s="1">
        <v>5.36</v>
      </c>
      <c r="L1190" s="1">
        <v>26.79</v>
      </c>
      <c r="M1190" s="1">
        <v>15.61</v>
      </c>
      <c r="N1190" s="1">
        <v>8.52</v>
      </c>
      <c r="O1190" s="1">
        <v>31.86</v>
      </c>
      <c r="P1190" s="1">
        <v>19.649999999999999</v>
      </c>
      <c r="Q1190" s="1">
        <v>9488.65</v>
      </c>
      <c r="R1190" s="1">
        <v>56</v>
      </c>
      <c r="S1190" s="1">
        <v>76</v>
      </c>
    </row>
    <row r="1191" spans="1:19" ht="15">
      <c r="A1191" s="1">
        <v>67</v>
      </c>
      <c r="B1191" s="1" t="s">
        <v>94</v>
      </c>
      <c r="C1191" s="1" t="s">
        <v>78</v>
      </c>
      <c r="D1191" s="1">
        <v>2021</v>
      </c>
      <c r="E1191" s="1" t="s">
        <v>22</v>
      </c>
      <c r="F1191" s="1">
        <v>112492237</v>
      </c>
      <c r="G1191" s="1">
        <v>58448075</v>
      </c>
      <c r="H1191" s="1">
        <v>54044162</v>
      </c>
      <c r="I1191" s="1">
        <v>7769425</v>
      </c>
      <c r="J1191" s="1">
        <v>412985</v>
      </c>
      <c r="K1191" s="1">
        <v>6.91</v>
      </c>
      <c r="L1191" s="1">
        <v>18.88</v>
      </c>
      <c r="M1191" s="1">
        <v>27.47</v>
      </c>
      <c r="N1191" s="1">
        <v>11.73</v>
      </c>
      <c r="O1191" s="1">
        <v>23.18</v>
      </c>
      <c r="P1191" s="1">
        <v>38.270000000000003</v>
      </c>
      <c r="Q1191" s="1">
        <v>7308.47</v>
      </c>
      <c r="R1191" s="1">
        <v>70</v>
      </c>
      <c r="S1191" s="1">
        <v>82.3</v>
      </c>
    </row>
    <row r="1192" spans="1:19" ht="15">
      <c r="A1192" s="1">
        <v>67</v>
      </c>
      <c r="B1192" s="1" t="s">
        <v>94</v>
      </c>
      <c r="C1192" s="1" t="s">
        <v>78</v>
      </c>
      <c r="D1192" s="1">
        <v>2021</v>
      </c>
      <c r="E1192" s="1" t="s">
        <v>23</v>
      </c>
      <c r="F1192" s="1">
        <v>125949539</v>
      </c>
      <c r="G1192" s="1">
        <v>61836273</v>
      </c>
      <c r="H1192" s="1">
        <v>64113266</v>
      </c>
      <c r="I1192" s="1">
        <v>7219594</v>
      </c>
      <c r="J1192" s="1">
        <v>429503</v>
      </c>
      <c r="K1192" s="1">
        <v>5.73</v>
      </c>
      <c r="L1192" s="1">
        <v>28.7</v>
      </c>
      <c r="M1192" s="1">
        <v>12.58</v>
      </c>
      <c r="N1192" s="1">
        <v>5.84</v>
      </c>
      <c r="O1192" s="1">
        <v>34.06</v>
      </c>
      <c r="P1192" s="1">
        <v>30.42</v>
      </c>
      <c r="Q1192" s="1">
        <v>5262.67</v>
      </c>
      <c r="R1192" s="1">
        <v>41</v>
      </c>
      <c r="S1192" s="1">
        <v>82.7</v>
      </c>
    </row>
    <row r="1193" spans="1:19" ht="15">
      <c r="A1193" s="1">
        <v>67</v>
      </c>
      <c r="B1193" s="1" t="s">
        <v>94</v>
      </c>
      <c r="C1193" s="1" t="s">
        <v>78</v>
      </c>
      <c r="D1193" s="1">
        <v>2022</v>
      </c>
      <c r="E1193" s="1" t="s">
        <v>21</v>
      </c>
      <c r="F1193" s="1">
        <v>150249655</v>
      </c>
      <c r="G1193" s="1">
        <v>72649748</v>
      </c>
      <c r="H1193" s="1">
        <v>77599907</v>
      </c>
      <c r="I1193" s="1">
        <v>12198363</v>
      </c>
      <c r="J1193" s="1">
        <v>647377</v>
      </c>
      <c r="K1193" s="1">
        <v>8.1199999999999992</v>
      </c>
      <c r="L1193" s="1">
        <v>16.899999999999999</v>
      </c>
      <c r="M1193" s="1">
        <v>13.11</v>
      </c>
      <c r="N1193" s="1">
        <v>5.39</v>
      </c>
      <c r="O1193" s="1">
        <v>33.29</v>
      </c>
      <c r="P1193" s="1">
        <v>25.82</v>
      </c>
      <c r="Q1193" s="1">
        <v>5119.09</v>
      </c>
      <c r="R1193" s="1">
        <v>62</v>
      </c>
      <c r="S1193" s="1">
        <v>60.8</v>
      </c>
    </row>
    <row r="1194" spans="1:19" ht="15">
      <c r="A1194" s="1">
        <v>67</v>
      </c>
      <c r="B1194" s="1" t="s">
        <v>94</v>
      </c>
      <c r="C1194" s="1" t="s">
        <v>78</v>
      </c>
      <c r="D1194" s="1">
        <v>2022</v>
      </c>
      <c r="E1194" s="1" t="s">
        <v>22</v>
      </c>
      <c r="F1194" s="1">
        <v>162386825</v>
      </c>
      <c r="G1194" s="1">
        <v>78082517</v>
      </c>
      <c r="H1194" s="1">
        <v>84304308</v>
      </c>
      <c r="I1194" s="1">
        <v>13021796</v>
      </c>
      <c r="J1194" s="1">
        <v>575092</v>
      </c>
      <c r="K1194" s="1">
        <v>8.02</v>
      </c>
      <c r="L1194" s="1">
        <v>18.78</v>
      </c>
      <c r="M1194" s="1">
        <v>23.26</v>
      </c>
      <c r="N1194" s="1">
        <v>12.39</v>
      </c>
      <c r="O1194" s="1">
        <v>30.53</v>
      </c>
      <c r="P1194" s="1">
        <v>36.479999999999997</v>
      </c>
      <c r="Q1194" s="1">
        <v>1975.7</v>
      </c>
      <c r="R1194" s="1">
        <v>70</v>
      </c>
      <c r="S1194" s="1">
        <v>73.099999999999994</v>
      </c>
    </row>
    <row r="1195" spans="1:19" ht="15">
      <c r="A1195" s="1">
        <v>67</v>
      </c>
      <c r="B1195" s="1" t="s">
        <v>94</v>
      </c>
      <c r="C1195" s="1" t="s">
        <v>78</v>
      </c>
      <c r="D1195" s="1">
        <v>2022</v>
      </c>
      <c r="E1195" s="1" t="s">
        <v>23</v>
      </c>
      <c r="F1195" s="1">
        <v>93848010</v>
      </c>
      <c r="G1195" s="1">
        <v>47801507</v>
      </c>
      <c r="H1195" s="1">
        <v>46046503</v>
      </c>
      <c r="I1195" s="1">
        <v>8358970</v>
      </c>
      <c r="J1195" s="1">
        <v>292809</v>
      </c>
      <c r="K1195" s="1">
        <v>8.91</v>
      </c>
      <c r="L1195" s="1">
        <v>20.21</v>
      </c>
      <c r="M1195" s="1">
        <v>33.86</v>
      </c>
      <c r="N1195" s="1">
        <v>8.67</v>
      </c>
      <c r="O1195" s="1">
        <v>21.59</v>
      </c>
      <c r="P1195" s="1">
        <v>25.23</v>
      </c>
      <c r="Q1195" s="1">
        <v>2457.7600000000002</v>
      </c>
      <c r="R1195" s="1">
        <v>77</v>
      </c>
      <c r="S1195" s="1">
        <v>82.3</v>
      </c>
    </row>
    <row r="1196" spans="1:19" ht="15">
      <c r="A1196" s="1">
        <v>67</v>
      </c>
      <c r="B1196" s="1" t="s">
        <v>94</v>
      </c>
      <c r="C1196" s="1" t="s">
        <v>78</v>
      </c>
      <c r="D1196" s="1">
        <v>2023</v>
      </c>
      <c r="E1196" s="1" t="s">
        <v>21</v>
      </c>
      <c r="F1196" s="1">
        <v>143096024</v>
      </c>
      <c r="G1196" s="1">
        <v>73614219</v>
      </c>
      <c r="H1196" s="1">
        <v>69481805</v>
      </c>
      <c r="I1196" s="1">
        <v>12199442</v>
      </c>
      <c r="J1196" s="1">
        <v>972581</v>
      </c>
      <c r="K1196" s="1">
        <v>8.5299999999999994</v>
      </c>
      <c r="L1196" s="1">
        <v>16.13</v>
      </c>
      <c r="M1196" s="1">
        <v>26.23</v>
      </c>
      <c r="N1196" s="1">
        <v>10.47</v>
      </c>
      <c r="O1196" s="1">
        <v>32.090000000000003</v>
      </c>
      <c r="P1196" s="1">
        <v>26.25</v>
      </c>
      <c r="Q1196" s="1">
        <v>11353.75</v>
      </c>
      <c r="R1196" s="1">
        <v>52</v>
      </c>
      <c r="S1196" s="1">
        <v>76.900000000000006</v>
      </c>
    </row>
    <row r="1197" spans="1:19" ht="15">
      <c r="A1197" s="1">
        <v>67</v>
      </c>
      <c r="B1197" s="1" t="s">
        <v>94</v>
      </c>
      <c r="C1197" s="1" t="s">
        <v>78</v>
      </c>
      <c r="D1197" s="1">
        <v>2023</v>
      </c>
      <c r="E1197" s="1" t="s">
        <v>22</v>
      </c>
      <c r="F1197" s="1">
        <v>29412984</v>
      </c>
      <c r="G1197" s="1">
        <v>14770854</v>
      </c>
      <c r="H1197" s="1">
        <v>14642130</v>
      </c>
      <c r="I1197" s="1">
        <v>2114890</v>
      </c>
      <c r="J1197" s="1">
        <v>89991</v>
      </c>
      <c r="K1197" s="1">
        <v>7.19</v>
      </c>
      <c r="L1197" s="1">
        <v>18.420000000000002</v>
      </c>
      <c r="M1197" s="1">
        <v>17.22</v>
      </c>
      <c r="N1197" s="1">
        <v>14.43</v>
      </c>
      <c r="O1197" s="1">
        <v>25.43</v>
      </c>
      <c r="P1197" s="1">
        <v>26.98</v>
      </c>
      <c r="Q1197" s="1">
        <v>11054.89</v>
      </c>
      <c r="R1197" s="1">
        <v>44</v>
      </c>
      <c r="S1197" s="1">
        <v>73</v>
      </c>
    </row>
    <row r="1198" spans="1:19" ht="15">
      <c r="A1198" s="1">
        <v>67</v>
      </c>
      <c r="B1198" s="1" t="s">
        <v>94</v>
      </c>
      <c r="C1198" s="1" t="s">
        <v>78</v>
      </c>
      <c r="D1198" s="1">
        <v>2023</v>
      </c>
      <c r="E1198" s="1" t="s">
        <v>23</v>
      </c>
      <c r="F1198" s="1">
        <v>82738674</v>
      </c>
      <c r="G1198" s="1">
        <v>42806111</v>
      </c>
      <c r="H1198" s="1">
        <v>39932563</v>
      </c>
      <c r="I1198" s="1">
        <v>7395535</v>
      </c>
      <c r="J1198" s="1">
        <v>576824</v>
      </c>
      <c r="K1198" s="1">
        <v>8.94</v>
      </c>
      <c r="L1198" s="1">
        <v>24.5</v>
      </c>
      <c r="M1198" s="1">
        <v>30.72</v>
      </c>
      <c r="N1198" s="1">
        <v>12.15</v>
      </c>
      <c r="O1198" s="1">
        <v>27.14</v>
      </c>
      <c r="P1198" s="1">
        <v>36.57</v>
      </c>
      <c r="Q1198" s="1">
        <v>5432.91</v>
      </c>
      <c r="R1198" s="1">
        <v>46</v>
      </c>
      <c r="S1198" s="1">
        <v>76.400000000000006</v>
      </c>
    </row>
    <row r="1199" spans="1:19" ht="15">
      <c r="A1199" s="1">
        <v>67</v>
      </c>
      <c r="B1199" s="1" t="s">
        <v>94</v>
      </c>
      <c r="C1199" s="1" t="s">
        <v>78</v>
      </c>
      <c r="D1199" s="1">
        <v>2024</v>
      </c>
      <c r="E1199" s="1" t="s">
        <v>21</v>
      </c>
      <c r="F1199" s="1">
        <v>91775660</v>
      </c>
      <c r="G1199" s="1">
        <v>46949839</v>
      </c>
      <c r="H1199" s="1">
        <v>44825821</v>
      </c>
      <c r="I1199" s="1">
        <v>6919027</v>
      </c>
      <c r="J1199" s="1">
        <v>306629</v>
      </c>
      <c r="K1199" s="1">
        <v>7.54</v>
      </c>
      <c r="L1199" s="1">
        <v>29.38</v>
      </c>
      <c r="M1199" s="1">
        <v>18.239999999999998</v>
      </c>
      <c r="N1199" s="1">
        <v>7.56</v>
      </c>
      <c r="O1199" s="1">
        <v>39.53</v>
      </c>
      <c r="P1199" s="1">
        <v>27.92</v>
      </c>
      <c r="Q1199" s="1">
        <v>599.17999999999995</v>
      </c>
      <c r="R1199" s="1">
        <v>40</v>
      </c>
      <c r="S1199" s="1">
        <v>70.5</v>
      </c>
    </row>
    <row r="1200" spans="1:19" ht="15">
      <c r="A1200" s="1">
        <v>67</v>
      </c>
      <c r="B1200" s="1" t="s">
        <v>94</v>
      </c>
      <c r="C1200" s="1" t="s">
        <v>78</v>
      </c>
      <c r="D1200" s="1">
        <v>2024</v>
      </c>
      <c r="E1200" s="1" t="s">
        <v>22</v>
      </c>
      <c r="F1200" s="1">
        <v>19942376</v>
      </c>
      <c r="G1200" s="1">
        <v>10120000</v>
      </c>
      <c r="H1200" s="1">
        <v>9822376</v>
      </c>
      <c r="I1200" s="1">
        <v>1531234</v>
      </c>
      <c r="J1200" s="1">
        <v>58664</v>
      </c>
      <c r="K1200" s="1">
        <v>7.68</v>
      </c>
      <c r="L1200" s="1">
        <v>21.61</v>
      </c>
      <c r="M1200" s="1">
        <v>14.07</v>
      </c>
      <c r="N1200" s="1">
        <v>14.17</v>
      </c>
      <c r="O1200" s="1">
        <v>29.91</v>
      </c>
      <c r="P1200" s="1">
        <v>37.21</v>
      </c>
      <c r="Q1200" s="1">
        <v>10863.87</v>
      </c>
      <c r="R1200" s="1">
        <v>70</v>
      </c>
      <c r="S1200" s="1">
        <v>69.7</v>
      </c>
    </row>
    <row r="1201" spans="1:19" ht="15">
      <c r="A1201" s="1">
        <v>67</v>
      </c>
      <c r="B1201" s="1" t="s">
        <v>94</v>
      </c>
      <c r="C1201" s="1" t="s">
        <v>78</v>
      </c>
      <c r="D1201" s="1">
        <v>2024</v>
      </c>
      <c r="E1201" s="1" t="s">
        <v>23</v>
      </c>
      <c r="F1201" s="1">
        <v>124029806</v>
      </c>
      <c r="G1201" s="1">
        <v>60761607</v>
      </c>
      <c r="H1201" s="1">
        <v>63268199</v>
      </c>
      <c r="I1201" s="1">
        <v>8119419</v>
      </c>
      <c r="J1201" s="1">
        <v>535590</v>
      </c>
      <c r="K1201" s="1">
        <v>6.55</v>
      </c>
      <c r="L1201" s="1">
        <v>21.45</v>
      </c>
      <c r="M1201" s="1">
        <v>11.47</v>
      </c>
      <c r="N1201" s="1">
        <v>6.77</v>
      </c>
      <c r="O1201" s="1">
        <v>38.86</v>
      </c>
      <c r="P1201" s="1">
        <v>35.21</v>
      </c>
      <c r="Q1201" s="1">
        <v>10186.36</v>
      </c>
      <c r="R1201" s="1">
        <v>80</v>
      </c>
      <c r="S1201" s="1">
        <v>64.7</v>
      </c>
    </row>
    <row r="1202" spans="1:19" ht="15">
      <c r="A1202" s="1">
        <v>67</v>
      </c>
      <c r="B1202" s="1" t="s">
        <v>94</v>
      </c>
      <c r="C1202" s="1" t="s">
        <v>78</v>
      </c>
      <c r="D1202" s="1">
        <v>2025</v>
      </c>
      <c r="E1202" s="1" t="s">
        <v>21</v>
      </c>
      <c r="F1202" s="1">
        <v>35292331</v>
      </c>
      <c r="G1202" s="1">
        <v>17387274</v>
      </c>
      <c r="H1202" s="1">
        <v>17905057</v>
      </c>
      <c r="I1202" s="1">
        <v>3078915</v>
      </c>
      <c r="J1202" s="1">
        <v>193542</v>
      </c>
      <c r="K1202" s="1">
        <v>8.7200000000000006</v>
      </c>
      <c r="L1202" s="1">
        <v>15.24</v>
      </c>
      <c r="M1202" s="1">
        <v>31.49</v>
      </c>
      <c r="N1202" s="1">
        <v>9.1999999999999993</v>
      </c>
      <c r="O1202" s="1">
        <v>39.46</v>
      </c>
      <c r="P1202" s="1">
        <v>20.07</v>
      </c>
      <c r="Q1202" s="1">
        <v>7967.9</v>
      </c>
      <c r="R1202" s="1">
        <v>41</v>
      </c>
      <c r="S1202" s="1">
        <v>77.8</v>
      </c>
    </row>
    <row r="1203" spans="1:19" ht="15">
      <c r="A1203" s="1">
        <v>67</v>
      </c>
      <c r="B1203" s="1" t="s">
        <v>94</v>
      </c>
      <c r="C1203" s="1" t="s">
        <v>78</v>
      </c>
      <c r="D1203" s="1">
        <v>2025</v>
      </c>
      <c r="E1203" s="1" t="s">
        <v>22</v>
      </c>
      <c r="F1203" s="1">
        <v>75008860</v>
      </c>
      <c r="G1203" s="1">
        <v>37930019</v>
      </c>
      <c r="H1203" s="1">
        <v>37078841</v>
      </c>
      <c r="I1203" s="1">
        <v>4708465</v>
      </c>
      <c r="J1203" s="1">
        <v>324140</v>
      </c>
      <c r="K1203" s="1">
        <v>6.28</v>
      </c>
      <c r="L1203" s="1">
        <v>22.32</v>
      </c>
      <c r="M1203" s="1">
        <v>22.16</v>
      </c>
      <c r="N1203" s="1">
        <v>5.32</v>
      </c>
      <c r="O1203" s="1">
        <v>22.25</v>
      </c>
      <c r="P1203" s="1">
        <v>38.69</v>
      </c>
      <c r="Q1203" s="1">
        <v>8071.76</v>
      </c>
      <c r="R1203" s="1">
        <v>71</v>
      </c>
      <c r="S1203" s="1">
        <v>67.400000000000006</v>
      </c>
    </row>
    <row r="1204" spans="1:19" ht="15">
      <c r="A1204" s="1">
        <v>67</v>
      </c>
      <c r="B1204" s="1" t="s">
        <v>94</v>
      </c>
      <c r="C1204" s="1" t="s">
        <v>78</v>
      </c>
      <c r="D1204" s="1">
        <v>2025</v>
      </c>
      <c r="E1204" s="1" t="s">
        <v>23</v>
      </c>
      <c r="F1204" s="1">
        <v>36426659</v>
      </c>
      <c r="G1204" s="1">
        <v>17722545</v>
      </c>
      <c r="H1204" s="1">
        <v>18704114</v>
      </c>
      <c r="I1204" s="1">
        <v>2294351</v>
      </c>
      <c r="J1204" s="1">
        <v>139651</v>
      </c>
      <c r="K1204" s="1">
        <v>6.3</v>
      </c>
      <c r="L1204" s="1">
        <v>20.059999999999999</v>
      </c>
      <c r="M1204" s="1">
        <v>32.85</v>
      </c>
      <c r="N1204" s="1">
        <v>6.29</v>
      </c>
      <c r="O1204" s="1">
        <v>35.049999999999997</v>
      </c>
      <c r="P1204" s="1">
        <v>31.93</v>
      </c>
      <c r="Q1204" s="1">
        <v>11916.38</v>
      </c>
      <c r="R1204" s="1">
        <v>72</v>
      </c>
      <c r="S1204" s="1">
        <v>71.900000000000006</v>
      </c>
    </row>
    <row r="1205" spans="1:19" ht="15">
      <c r="A1205" s="1">
        <v>67</v>
      </c>
      <c r="B1205" s="1" t="s">
        <v>94</v>
      </c>
      <c r="C1205" s="1" t="s">
        <v>78</v>
      </c>
      <c r="D1205" s="1">
        <v>2026</v>
      </c>
      <c r="E1205" s="1" t="s">
        <v>21</v>
      </c>
      <c r="F1205" s="1">
        <v>88501150</v>
      </c>
      <c r="G1205" s="1">
        <v>43688175</v>
      </c>
      <c r="H1205" s="1">
        <v>44812975</v>
      </c>
      <c r="I1205" s="1">
        <v>7796203</v>
      </c>
      <c r="J1205" s="1">
        <v>620099</v>
      </c>
      <c r="K1205" s="1">
        <v>8.81</v>
      </c>
      <c r="L1205" s="1">
        <v>23.4</v>
      </c>
      <c r="M1205" s="1">
        <v>11.52</v>
      </c>
      <c r="N1205" s="1">
        <v>12.74</v>
      </c>
      <c r="O1205" s="1">
        <v>39.22</v>
      </c>
      <c r="P1205" s="1">
        <v>25.79</v>
      </c>
      <c r="Q1205" s="1">
        <v>2285.7600000000002</v>
      </c>
      <c r="R1205" s="1">
        <v>78</v>
      </c>
      <c r="S1205" s="1">
        <v>79.099999999999994</v>
      </c>
    </row>
    <row r="1206" spans="1:19" ht="15">
      <c r="A1206" s="1">
        <v>67</v>
      </c>
      <c r="B1206" s="1" t="s">
        <v>94</v>
      </c>
      <c r="C1206" s="1" t="s">
        <v>78</v>
      </c>
      <c r="D1206" s="1">
        <v>2026</v>
      </c>
      <c r="E1206" s="1" t="s">
        <v>22</v>
      </c>
      <c r="F1206" s="1">
        <v>163893203</v>
      </c>
      <c r="G1206" s="1">
        <v>84913007</v>
      </c>
      <c r="H1206" s="1">
        <v>78980196</v>
      </c>
      <c r="I1206" s="1">
        <v>12490467</v>
      </c>
      <c r="J1206" s="1">
        <v>591593</v>
      </c>
      <c r="K1206" s="1">
        <v>7.62</v>
      </c>
      <c r="L1206" s="1">
        <v>26.24</v>
      </c>
      <c r="M1206" s="1">
        <v>26.65</v>
      </c>
      <c r="N1206" s="1">
        <v>8.75</v>
      </c>
      <c r="O1206" s="1">
        <v>25.49</v>
      </c>
      <c r="P1206" s="1">
        <v>21.1</v>
      </c>
      <c r="Q1206" s="1">
        <v>2838.6</v>
      </c>
      <c r="R1206" s="1">
        <v>74</v>
      </c>
      <c r="S1206" s="1">
        <v>66.900000000000006</v>
      </c>
    </row>
    <row r="1207" spans="1:19" ht="15">
      <c r="A1207" s="1">
        <v>67</v>
      </c>
      <c r="B1207" s="1" t="s">
        <v>94</v>
      </c>
      <c r="C1207" s="1" t="s">
        <v>78</v>
      </c>
      <c r="D1207" s="1">
        <v>2026</v>
      </c>
      <c r="E1207" s="1" t="s">
        <v>23</v>
      </c>
      <c r="F1207" s="1">
        <v>3513223</v>
      </c>
      <c r="G1207" s="1">
        <v>1704485</v>
      </c>
      <c r="H1207" s="1">
        <v>1808738</v>
      </c>
      <c r="I1207" s="1">
        <v>314011</v>
      </c>
      <c r="J1207" s="1">
        <v>15543</v>
      </c>
      <c r="K1207" s="1">
        <v>8.94</v>
      </c>
      <c r="L1207" s="1">
        <v>16.95</v>
      </c>
      <c r="M1207" s="1">
        <v>29.56</v>
      </c>
      <c r="N1207" s="1">
        <v>8.6199999999999992</v>
      </c>
      <c r="O1207" s="1">
        <v>25.59</v>
      </c>
      <c r="P1207" s="1">
        <v>38.479999999999997</v>
      </c>
      <c r="Q1207" s="1">
        <v>7514.03</v>
      </c>
      <c r="R1207" s="1">
        <v>83</v>
      </c>
      <c r="S1207" s="1">
        <v>63.2</v>
      </c>
    </row>
    <row r="1208" spans="1:19" ht="15">
      <c r="A1208" s="1">
        <v>68</v>
      </c>
      <c r="B1208" s="1" t="s">
        <v>95</v>
      </c>
      <c r="C1208" s="1" t="s">
        <v>78</v>
      </c>
      <c r="D1208" s="1">
        <v>2021</v>
      </c>
      <c r="E1208" s="1" t="s">
        <v>21</v>
      </c>
      <c r="F1208" s="1">
        <v>39877503</v>
      </c>
      <c r="G1208" s="1">
        <v>19888960</v>
      </c>
      <c r="H1208" s="1">
        <v>19988543</v>
      </c>
      <c r="I1208" s="1">
        <v>2009317</v>
      </c>
      <c r="J1208" s="1">
        <v>113695</v>
      </c>
      <c r="K1208" s="1">
        <v>5.04</v>
      </c>
      <c r="L1208" s="1">
        <v>28.56</v>
      </c>
      <c r="M1208" s="1">
        <v>14.77</v>
      </c>
      <c r="N1208" s="1">
        <v>12.44</v>
      </c>
      <c r="O1208" s="1">
        <v>23.77</v>
      </c>
      <c r="P1208" s="1">
        <v>34.19</v>
      </c>
      <c r="Q1208" s="1">
        <v>10059.99</v>
      </c>
      <c r="R1208" s="1">
        <v>63</v>
      </c>
      <c r="S1208" s="1">
        <v>77.5</v>
      </c>
    </row>
    <row r="1209" spans="1:19" ht="15">
      <c r="A1209" s="1">
        <v>68</v>
      </c>
      <c r="B1209" s="1" t="s">
        <v>95</v>
      </c>
      <c r="C1209" s="1" t="s">
        <v>78</v>
      </c>
      <c r="D1209" s="1">
        <v>2021</v>
      </c>
      <c r="E1209" s="1" t="s">
        <v>22</v>
      </c>
      <c r="F1209" s="1">
        <v>190603250</v>
      </c>
      <c r="G1209" s="1">
        <v>95938046</v>
      </c>
      <c r="H1209" s="1">
        <v>94665204</v>
      </c>
      <c r="I1209" s="1">
        <v>11000778</v>
      </c>
      <c r="J1209" s="1">
        <v>462871</v>
      </c>
      <c r="K1209" s="1">
        <v>5.77</v>
      </c>
      <c r="L1209" s="1">
        <v>19.149999999999999</v>
      </c>
      <c r="M1209" s="1">
        <v>23</v>
      </c>
      <c r="N1209" s="1">
        <v>8.73</v>
      </c>
      <c r="O1209" s="1">
        <v>31.7</v>
      </c>
      <c r="P1209" s="1">
        <v>34.950000000000003</v>
      </c>
      <c r="Q1209" s="1">
        <v>5750.69</v>
      </c>
      <c r="R1209" s="1">
        <v>54</v>
      </c>
      <c r="S1209" s="1">
        <v>69.5</v>
      </c>
    </row>
    <row r="1210" spans="1:19" ht="15">
      <c r="A1210" s="1">
        <v>68</v>
      </c>
      <c r="B1210" s="1" t="s">
        <v>95</v>
      </c>
      <c r="C1210" s="1" t="s">
        <v>78</v>
      </c>
      <c r="D1210" s="1">
        <v>2021</v>
      </c>
      <c r="E1210" s="1" t="s">
        <v>23</v>
      </c>
      <c r="F1210" s="1">
        <v>157701155</v>
      </c>
      <c r="G1210" s="1">
        <v>80291821</v>
      </c>
      <c r="H1210" s="1">
        <v>77409334</v>
      </c>
      <c r="I1210" s="1">
        <v>15287249</v>
      </c>
      <c r="J1210" s="1">
        <v>1204940</v>
      </c>
      <c r="K1210" s="1">
        <v>9.69</v>
      </c>
      <c r="L1210" s="1">
        <v>22.01</v>
      </c>
      <c r="M1210" s="1">
        <v>17.88</v>
      </c>
      <c r="N1210" s="1">
        <v>5.07</v>
      </c>
      <c r="O1210" s="1">
        <v>26.21</v>
      </c>
      <c r="P1210" s="1">
        <v>28.59</v>
      </c>
      <c r="Q1210" s="1">
        <v>7882.82</v>
      </c>
      <c r="R1210" s="1">
        <v>58</v>
      </c>
      <c r="S1210" s="1">
        <v>63.8</v>
      </c>
    </row>
    <row r="1211" spans="1:19" ht="15">
      <c r="A1211" s="1">
        <v>68</v>
      </c>
      <c r="B1211" s="1" t="s">
        <v>95</v>
      </c>
      <c r="C1211" s="1" t="s">
        <v>78</v>
      </c>
      <c r="D1211" s="1">
        <v>2022</v>
      </c>
      <c r="E1211" s="1" t="s">
        <v>21</v>
      </c>
      <c r="F1211" s="1">
        <v>111128476</v>
      </c>
      <c r="G1211" s="1">
        <v>55426778</v>
      </c>
      <c r="H1211" s="1">
        <v>55701698</v>
      </c>
      <c r="I1211" s="1">
        <v>7470297</v>
      </c>
      <c r="J1211" s="1">
        <v>589182</v>
      </c>
      <c r="K1211" s="1">
        <v>6.72</v>
      </c>
      <c r="L1211" s="1">
        <v>14.82</v>
      </c>
      <c r="M1211" s="1">
        <v>33.24</v>
      </c>
      <c r="N1211" s="1">
        <v>14.45</v>
      </c>
      <c r="O1211" s="1">
        <v>32.24</v>
      </c>
      <c r="P1211" s="1">
        <v>22.57</v>
      </c>
      <c r="Q1211" s="1">
        <v>7653.24</v>
      </c>
      <c r="R1211" s="1">
        <v>78</v>
      </c>
      <c r="S1211" s="1">
        <v>77.2</v>
      </c>
    </row>
    <row r="1212" spans="1:19" ht="15">
      <c r="A1212" s="1">
        <v>68</v>
      </c>
      <c r="B1212" s="1" t="s">
        <v>95</v>
      </c>
      <c r="C1212" s="1" t="s">
        <v>78</v>
      </c>
      <c r="D1212" s="1">
        <v>2022</v>
      </c>
      <c r="E1212" s="1" t="s">
        <v>22</v>
      </c>
      <c r="F1212" s="1">
        <v>181004205</v>
      </c>
      <c r="G1212" s="1">
        <v>92004872</v>
      </c>
      <c r="H1212" s="1">
        <v>88999333</v>
      </c>
      <c r="I1212" s="1">
        <v>10714948</v>
      </c>
      <c r="J1212" s="1">
        <v>852156</v>
      </c>
      <c r="K1212" s="1">
        <v>5.92</v>
      </c>
      <c r="L1212" s="1">
        <v>20.14</v>
      </c>
      <c r="M1212" s="1">
        <v>18.46</v>
      </c>
      <c r="N1212" s="1">
        <v>8.02</v>
      </c>
      <c r="O1212" s="1">
        <v>35.159999999999997</v>
      </c>
      <c r="P1212" s="1">
        <v>20.350000000000001</v>
      </c>
      <c r="Q1212" s="1">
        <v>3402.08</v>
      </c>
      <c r="R1212" s="1">
        <v>56</v>
      </c>
      <c r="S1212" s="1">
        <v>69.900000000000006</v>
      </c>
    </row>
    <row r="1213" spans="1:19" ht="15">
      <c r="A1213" s="1">
        <v>68</v>
      </c>
      <c r="B1213" s="1" t="s">
        <v>95</v>
      </c>
      <c r="C1213" s="1" t="s">
        <v>78</v>
      </c>
      <c r="D1213" s="1">
        <v>2022</v>
      </c>
      <c r="E1213" s="1" t="s">
        <v>23</v>
      </c>
      <c r="F1213" s="1">
        <v>161610861</v>
      </c>
      <c r="G1213" s="1">
        <v>81104856</v>
      </c>
      <c r="H1213" s="1">
        <v>80506005</v>
      </c>
      <c r="I1213" s="1">
        <v>12968009</v>
      </c>
      <c r="J1213" s="1">
        <v>814948</v>
      </c>
      <c r="K1213" s="1">
        <v>8.02</v>
      </c>
      <c r="L1213" s="1">
        <v>17.32</v>
      </c>
      <c r="M1213" s="1">
        <v>13.74</v>
      </c>
      <c r="N1213" s="1">
        <v>12.19</v>
      </c>
      <c r="O1213" s="1">
        <v>30.98</v>
      </c>
      <c r="P1213" s="1">
        <v>39.04</v>
      </c>
      <c r="Q1213" s="1">
        <v>10006.959999999999</v>
      </c>
      <c r="R1213" s="1">
        <v>50</v>
      </c>
      <c r="S1213" s="1">
        <v>62.6</v>
      </c>
    </row>
    <row r="1214" spans="1:19" ht="15">
      <c r="A1214" s="1">
        <v>68</v>
      </c>
      <c r="B1214" s="1" t="s">
        <v>95</v>
      </c>
      <c r="C1214" s="1" t="s">
        <v>78</v>
      </c>
      <c r="D1214" s="1">
        <v>2023</v>
      </c>
      <c r="E1214" s="1" t="s">
        <v>21</v>
      </c>
      <c r="F1214" s="1">
        <v>11617321</v>
      </c>
      <c r="G1214" s="1">
        <v>5984278</v>
      </c>
      <c r="H1214" s="1">
        <v>5633043</v>
      </c>
      <c r="I1214" s="1">
        <v>1118574</v>
      </c>
      <c r="J1214" s="1">
        <v>73527</v>
      </c>
      <c r="K1214" s="1">
        <v>9.6300000000000008</v>
      </c>
      <c r="L1214" s="1">
        <v>24.53</v>
      </c>
      <c r="M1214" s="1">
        <v>34.520000000000003</v>
      </c>
      <c r="N1214" s="1">
        <v>7.36</v>
      </c>
      <c r="O1214" s="1">
        <v>20.29</v>
      </c>
      <c r="P1214" s="1">
        <v>17.66</v>
      </c>
      <c r="Q1214" s="1">
        <v>2539.7199999999998</v>
      </c>
      <c r="R1214" s="1">
        <v>64</v>
      </c>
      <c r="S1214" s="1">
        <v>79.8</v>
      </c>
    </row>
    <row r="1215" spans="1:19" ht="15">
      <c r="A1215" s="1">
        <v>68</v>
      </c>
      <c r="B1215" s="1" t="s">
        <v>95</v>
      </c>
      <c r="C1215" s="1" t="s">
        <v>78</v>
      </c>
      <c r="D1215" s="1">
        <v>2023</v>
      </c>
      <c r="E1215" s="1" t="s">
        <v>22</v>
      </c>
      <c r="F1215" s="1">
        <v>197850708</v>
      </c>
      <c r="G1215" s="1">
        <v>95886780</v>
      </c>
      <c r="H1215" s="1">
        <v>101963928</v>
      </c>
      <c r="I1215" s="1">
        <v>12786103</v>
      </c>
      <c r="J1215" s="1">
        <v>973949</v>
      </c>
      <c r="K1215" s="1">
        <v>6.46</v>
      </c>
      <c r="L1215" s="1">
        <v>11.95</v>
      </c>
      <c r="M1215" s="1">
        <v>34.450000000000003</v>
      </c>
      <c r="N1215" s="1">
        <v>13.26</v>
      </c>
      <c r="O1215" s="1">
        <v>20.65</v>
      </c>
      <c r="P1215" s="1">
        <v>24.2</v>
      </c>
      <c r="Q1215" s="1">
        <v>9552.25</v>
      </c>
      <c r="R1215" s="1">
        <v>70</v>
      </c>
      <c r="S1215" s="1">
        <v>81.099999999999994</v>
      </c>
    </row>
    <row r="1216" spans="1:19" ht="15">
      <c r="A1216" s="1">
        <v>68</v>
      </c>
      <c r="B1216" s="1" t="s">
        <v>95</v>
      </c>
      <c r="C1216" s="1" t="s">
        <v>78</v>
      </c>
      <c r="D1216" s="1">
        <v>2023</v>
      </c>
      <c r="E1216" s="1" t="s">
        <v>23</v>
      </c>
      <c r="F1216" s="1">
        <v>69750563</v>
      </c>
      <c r="G1216" s="1">
        <v>36257695</v>
      </c>
      <c r="H1216" s="1">
        <v>33492868</v>
      </c>
      <c r="I1216" s="1">
        <v>4252201</v>
      </c>
      <c r="J1216" s="1">
        <v>229179</v>
      </c>
      <c r="K1216" s="1">
        <v>6.1</v>
      </c>
      <c r="L1216" s="1">
        <v>12.15</v>
      </c>
      <c r="M1216" s="1">
        <v>10.8</v>
      </c>
      <c r="N1216" s="1">
        <v>13.82</v>
      </c>
      <c r="O1216" s="1">
        <v>39.86</v>
      </c>
      <c r="P1216" s="1">
        <v>27.97</v>
      </c>
      <c r="Q1216" s="1">
        <v>5142.66</v>
      </c>
      <c r="R1216" s="1">
        <v>45</v>
      </c>
      <c r="S1216" s="1">
        <v>72.5</v>
      </c>
    </row>
    <row r="1217" spans="1:19" ht="15">
      <c r="A1217" s="1">
        <v>68</v>
      </c>
      <c r="B1217" s="1" t="s">
        <v>95</v>
      </c>
      <c r="C1217" s="1" t="s">
        <v>78</v>
      </c>
      <c r="D1217" s="1">
        <v>2024</v>
      </c>
      <c r="E1217" s="1" t="s">
        <v>21</v>
      </c>
      <c r="F1217" s="1">
        <v>184174271</v>
      </c>
      <c r="G1217" s="1">
        <v>91755008</v>
      </c>
      <c r="H1217" s="1">
        <v>92419263</v>
      </c>
      <c r="I1217" s="1">
        <v>13088332</v>
      </c>
      <c r="J1217" s="1">
        <v>426104</v>
      </c>
      <c r="K1217" s="1">
        <v>7.11</v>
      </c>
      <c r="L1217" s="1">
        <v>10.67</v>
      </c>
      <c r="M1217" s="1">
        <v>18.14</v>
      </c>
      <c r="N1217" s="1">
        <v>11.26</v>
      </c>
      <c r="O1217" s="1">
        <v>38.31</v>
      </c>
      <c r="P1217" s="1">
        <v>37.36</v>
      </c>
      <c r="Q1217" s="1">
        <v>500.13</v>
      </c>
      <c r="R1217" s="1">
        <v>48</v>
      </c>
      <c r="S1217" s="1">
        <v>64.400000000000006</v>
      </c>
    </row>
    <row r="1218" spans="1:19" ht="15">
      <c r="A1218" s="1">
        <v>68</v>
      </c>
      <c r="B1218" s="1" t="s">
        <v>95</v>
      </c>
      <c r="C1218" s="1" t="s">
        <v>78</v>
      </c>
      <c r="D1218" s="1">
        <v>2024</v>
      </c>
      <c r="E1218" s="1" t="s">
        <v>22</v>
      </c>
      <c r="F1218" s="1">
        <v>139677894</v>
      </c>
      <c r="G1218" s="1">
        <v>71539767</v>
      </c>
      <c r="H1218" s="1">
        <v>68138127</v>
      </c>
      <c r="I1218" s="1">
        <v>12166561</v>
      </c>
      <c r="J1218" s="1">
        <v>496358</v>
      </c>
      <c r="K1218" s="1">
        <v>8.7100000000000009</v>
      </c>
      <c r="L1218" s="1">
        <v>22.88</v>
      </c>
      <c r="M1218" s="1">
        <v>28.03</v>
      </c>
      <c r="N1218" s="1">
        <v>6.22</v>
      </c>
      <c r="O1218" s="1">
        <v>38.79</v>
      </c>
      <c r="P1218" s="1">
        <v>19.37</v>
      </c>
      <c r="Q1218" s="1">
        <v>7660.57</v>
      </c>
      <c r="R1218" s="1">
        <v>61</v>
      </c>
      <c r="S1218" s="1">
        <v>65.099999999999994</v>
      </c>
    </row>
    <row r="1219" spans="1:19" ht="15">
      <c r="A1219" s="1">
        <v>68</v>
      </c>
      <c r="B1219" s="1" t="s">
        <v>95</v>
      </c>
      <c r="C1219" s="1" t="s">
        <v>78</v>
      </c>
      <c r="D1219" s="1">
        <v>2024</v>
      </c>
      <c r="E1219" s="1" t="s">
        <v>23</v>
      </c>
      <c r="F1219" s="1">
        <v>74083217</v>
      </c>
      <c r="G1219" s="1">
        <v>36271848</v>
      </c>
      <c r="H1219" s="1">
        <v>37811369</v>
      </c>
      <c r="I1219" s="1">
        <v>5328613</v>
      </c>
      <c r="J1219" s="1">
        <v>286647</v>
      </c>
      <c r="K1219" s="1">
        <v>7.19</v>
      </c>
      <c r="L1219" s="1">
        <v>22.05</v>
      </c>
      <c r="M1219" s="1">
        <v>30.02</v>
      </c>
      <c r="N1219" s="1">
        <v>9.26</v>
      </c>
      <c r="O1219" s="1">
        <v>35.1</v>
      </c>
      <c r="P1219" s="1">
        <v>18.39</v>
      </c>
      <c r="Q1219" s="1">
        <v>11394.72</v>
      </c>
      <c r="R1219" s="1">
        <v>71</v>
      </c>
      <c r="S1219" s="1">
        <v>62.4</v>
      </c>
    </row>
    <row r="1220" spans="1:19" ht="15">
      <c r="A1220" s="1">
        <v>68</v>
      </c>
      <c r="B1220" s="1" t="s">
        <v>95</v>
      </c>
      <c r="C1220" s="1" t="s">
        <v>78</v>
      </c>
      <c r="D1220" s="1">
        <v>2025</v>
      </c>
      <c r="E1220" s="1" t="s">
        <v>21</v>
      </c>
      <c r="F1220" s="1">
        <v>190545847</v>
      </c>
      <c r="G1220" s="1">
        <v>96934476</v>
      </c>
      <c r="H1220" s="1">
        <v>93611371</v>
      </c>
      <c r="I1220" s="1">
        <v>17448221</v>
      </c>
      <c r="J1220" s="1">
        <v>622888</v>
      </c>
      <c r="K1220" s="1">
        <v>9.16</v>
      </c>
      <c r="L1220" s="1">
        <v>18.149999999999999</v>
      </c>
      <c r="M1220" s="1">
        <v>32.51</v>
      </c>
      <c r="N1220" s="1">
        <v>10.35</v>
      </c>
      <c r="O1220" s="1">
        <v>34.78</v>
      </c>
      <c r="P1220" s="1">
        <v>35.72</v>
      </c>
      <c r="Q1220" s="1">
        <v>2074.14</v>
      </c>
      <c r="R1220" s="1">
        <v>78</v>
      </c>
      <c r="S1220" s="1">
        <v>81.7</v>
      </c>
    </row>
    <row r="1221" spans="1:19" ht="15">
      <c r="A1221" s="1">
        <v>68</v>
      </c>
      <c r="B1221" s="1" t="s">
        <v>95</v>
      </c>
      <c r="C1221" s="1" t="s">
        <v>78</v>
      </c>
      <c r="D1221" s="1">
        <v>2025</v>
      </c>
      <c r="E1221" s="1" t="s">
        <v>22</v>
      </c>
      <c r="F1221" s="1">
        <v>25158728</v>
      </c>
      <c r="G1221" s="1">
        <v>13040881</v>
      </c>
      <c r="H1221" s="1">
        <v>12117847</v>
      </c>
      <c r="I1221" s="1">
        <v>1937253</v>
      </c>
      <c r="J1221" s="1">
        <v>152003</v>
      </c>
      <c r="K1221" s="1">
        <v>7.7</v>
      </c>
      <c r="L1221" s="1">
        <v>13.12</v>
      </c>
      <c r="M1221" s="1">
        <v>15.75</v>
      </c>
      <c r="N1221" s="1">
        <v>7.02</v>
      </c>
      <c r="O1221" s="1">
        <v>20.95</v>
      </c>
      <c r="P1221" s="1">
        <v>27.89</v>
      </c>
      <c r="Q1221" s="1">
        <v>8215.91</v>
      </c>
      <c r="R1221" s="1">
        <v>49</v>
      </c>
      <c r="S1221" s="1">
        <v>68.7</v>
      </c>
    </row>
    <row r="1222" spans="1:19" ht="15">
      <c r="A1222" s="1">
        <v>68</v>
      </c>
      <c r="B1222" s="1" t="s">
        <v>95</v>
      </c>
      <c r="C1222" s="1" t="s">
        <v>78</v>
      </c>
      <c r="D1222" s="1">
        <v>2025</v>
      </c>
      <c r="E1222" s="1" t="s">
        <v>23</v>
      </c>
      <c r="F1222" s="1">
        <v>71399830</v>
      </c>
      <c r="G1222" s="1">
        <v>35762117</v>
      </c>
      <c r="H1222" s="1">
        <v>35637713</v>
      </c>
      <c r="I1222" s="1">
        <v>6956999</v>
      </c>
      <c r="J1222" s="1">
        <v>516569</v>
      </c>
      <c r="K1222" s="1">
        <v>9.74</v>
      </c>
      <c r="L1222" s="1">
        <v>17.670000000000002</v>
      </c>
      <c r="M1222" s="1">
        <v>14.43</v>
      </c>
      <c r="N1222" s="1">
        <v>8.49</v>
      </c>
      <c r="O1222" s="1">
        <v>20.16</v>
      </c>
      <c r="P1222" s="1">
        <v>16.100000000000001</v>
      </c>
      <c r="Q1222" s="1">
        <v>5489.4</v>
      </c>
      <c r="R1222" s="1">
        <v>49</v>
      </c>
      <c r="S1222" s="1">
        <v>70</v>
      </c>
    </row>
    <row r="1223" spans="1:19" ht="15">
      <c r="A1223" s="1">
        <v>68</v>
      </c>
      <c r="B1223" s="1" t="s">
        <v>95</v>
      </c>
      <c r="C1223" s="1" t="s">
        <v>78</v>
      </c>
      <c r="D1223" s="1">
        <v>2026</v>
      </c>
      <c r="E1223" s="1" t="s">
        <v>21</v>
      </c>
      <c r="F1223" s="1">
        <v>101192111</v>
      </c>
      <c r="G1223" s="1">
        <v>50682265</v>
      </c>
      <c r="H1223" s="1">
        <v>50509846</v>
      </c>
      <c r="I1223" s="1">
        <v>9237247</v>
      </c>
      <c r="J1223" s="1">
        <v>345635</v>
      </c>
      <c r="K1223" s="1">
        <v>9.1300000000000008</v>
      </c>
      <c r="L1223" s="1">
        <v>10.59</v>
      </c>
      <c r="M1223" s="1">
        <v>30.13</v>
      </c>
      <c r="N1223" s="1">
        <v>7.47</v>
      </c>
      <c r="O1223" s="1">
        <v>38.94</v>
      </c>
      <c r="P1223" s="1">
        <v>22.54</v>
      </c>
      <c r="Q1223" s="1">
        <v>6567.31</v>
      </c>
      <c r="R1223" s="1">
        <v>74</v>
      </c>
      <c r="S1223" s="1">
        <v>74.2</v>
      </c>
    </row>
    <row r="1224" spans="1:19" ht="15">
      <c r="A1224" s="1">
        <v>68</v>
      </c>
      <c r="B1224" s="1" t="s">
        <v>95</v>
      </c>
      <c r="C1224" s="1" t="s">
        <v>78</v>
      </c>
      <c r="D1224" s="1">
        <v>2026</v>
      </c>
      <c r="E1224" s="1" t="s">
        <v>22</v>
      </c>
      <c r="F1224" s="1">
        <v>165666732</v>
      </c>
      <c r="G1224" s="1">
        <v>81783899</v>
      </c>
      <c r="H1224" s="1">
        <v>83882833</v>
      </c>
      <c r="I1224" s="1">
        <v>9557270</v>
      </c>
      <c r="J1224" s="1">
        <v>571608</v>
      </c>
      <c r="K1224" s="1">
        <v>5.77</v>
      </c>
      <c r="L1224" s="1">
        <v>15.83</v>
      </c>
      <c r="M1224" s="1">
        <v>23.89</v>
      </c>
      <c r="N1224" s="1">
        <v>12.56</v>
      </c>
      <c r="O1224" s="1">
        <v>37.32</v>
      </c>
      <c r="P1224" s="1">
        <v>23.95</v>
      </c>
      <c r="Q1224" s="1">
        <v>4533.6499999999996</v>
      </c>
      <c r="R1224" s="1">
        <v>81</v>
      </c>
      <c r="S1224" s="1">
        <v>62.4</v>
      </c>
    </row>
    <row r="1225" spans="1:19" ht="15">
      <c r="A1225" s="1">
        <v>68</v>
      </c>
      <c r="B1225" s="1" t="s">
        <v>95</v>
      </c>
      <c r="C1225" s="1" t="s">
        <v>78</v>
      </c>
      <c r="D1225" s="1">
        <v>2026</v>
      </c>
      <c r="E1225" s="1" t="s">
        <v>23</v>
      </c>
      <c r="F1225" s="1">
        <v>30474562</v>
      </c>
      <c r="G1225" s="1">
        <v>14812787</v>
      </c>
      <c r="H1225" s="1">
        <v>15661775</v>
      </c>
      <c r="I1225" s="1">
        <v>2331869</v>
      </c>
      <c r="J1225" s="1">
        <v>114835</v>
      </c>
      <c r="K1225" s="1">
        <v>7.65</v>
      </c>
      <c r="L1225" s="1">
        <v>21.56</v>
      </c>
      <c r="M1225" s="1">
        <v>17.32</v>
      </c>
      <c r="N1225" s="1">
        <v>6.31</v>
      </c>
      <c r="O1225" s="1">
        <v>27.8</v>
      </c>
      <c r="P1225" s="1">
        <v>39.46</v>
      </c>
      <c r="Q1225" s="1">
        <v>3494.24</v>
      </c>
      <c r="R1225" s="1">
        <v>50</v>
      </c>
      <c r="S1225" s="1">
        <v>79.599999999999994</v>
      </c>
    </row>
    <row r="1226" spans="1:19" ht="15">
      <c r="A1226" s="1">
        <v>69</v>
      </c>
      <c r="B1226" s="1" t="s">
        <v>96</v>
      </c>
      <c r="C1226" s="1" t="s">
        <v>78</v>
      </c>
      <c r="D1226" s="1">
        <v>2021</v>
      </c>
      <c r="E1226" s="1" t="s">
        <v>21</v>
      </c>
      <c r="F1226" s="1">
        <v>44739375</v>
      </c>
      <c r="G1226" s="1">
        <v>22995722</v>
      </c>
      <c r="H1226" s="1">
        <v>21743653</v>
      </c>
      <c r="I1226" s="1">
        <v>3926291</v>
      </c>
      <c r="J1226" s="1">
        <v>149319</v>
      </c>
      <c r="K1226" s="1">
        <v>8.7799999999999994</v>
      </c>
      <c r="L1226" s="1">
        <v>25.61</v>
      </c>
      <c r="M1226" s="1">
        <v>24.91</v>
      </c>
      <c r="N1226" s="1">
        <v>10.71</v>
      </c>
      <c r="O1226" s="1">
        <v>38.58</v>
      </c>
      <c r="P1226" s="1">
        <v>36.57</v>
      </c>
      <c r="Q1226" s="1">
        <v>1044.7</v>
      </c>
      <c r="R1226" s="1">
        <v>49</v>
      </c>
      <c r="S1226" s="1">
        <v>79.5</v>
      </c>
    </row>
    <row r="1227" spans="1:19" ht="15">
      <c r="A1227" s="1">
        <v>69</v>
      </c>
      <c r="B1227" s="1" t="s">
        <v>96</v>
      </c>
      <c r="C1227" s="1" t="s">
        <v>78</v>
      </c>
      <c r="D1227" s="1">
        <v>2021</v>
      </c>
      <c r="E1227" s="1" t="s">
        <v>22</v>
      </c>
      <c r="F1227" s="1">
        <v>49153210</v>
      </c>
      <c r="G1227" s="1">
        <v>24477065</v>
      </c>
      <c r="H1227" s="1">
        <v>24676145</v>
      </c>
      <c r="I1227" s="1">
        <v>2912281</v>
      </c>
      <c r="J1227" s="1">
        <v>111238</v>
      </c>
      <c r="K1227" s="1">
        <v>5.92</v>
      </c>
      <c r="L1227" s="1">
        <v>28.21</v>
      </c>
      <c r="M1227" s="1">
        <v>15.23</v>
      </c>
      <c r="N1227" s="1">
        <v>7.24</v>
      </c>
      <c r="O1227" s="1">
        <v>25.33</v>
      </c>
      <c r="P1227" s="1">
        <v>26.2</v>
      </c>
      <c r="Q1227" s="1">
        <v>5769.33</v>
      </c>
      <c r="R1227" s="1">
        <v>80</v>
      </c>
      <c r="S1227" s="1">
        <v>72.400000000000006</v>
      </c>
    </row>
    <row r="1228" spans="1:19" ht="15">
      <c r="A1228" s="1">
        <v>69</v>
      </c>
      <c r="B1228" s="1" t="s">
        <v>96</v>
      </c>
      <c r="C1228" s="1" t="s">
        <v>78</v>
      </c>
      <c r="D1228" s="1">
        <v>2021</v>
      </c>
      <c r="E1228" s="1" t="s">
        <v>23</v>
      </c>
      <c r="F1228" s="1">
        <v>96020100</v>
      </c>
      <c r="G1228" s="1">
        <v>49168634</v>
      </c>
      <c r="H1228" s="1">
        <v>46851466</v>
      </c>
      <c r="I1228" s="1">
        <v>5401956</v>
      </c>
      <c r="J1228" s="1">
        <v>286270</v>
      </c>
      <c r="K1228" s="1">
        <v>5.63</v>
      </c>
      <c r="L1228" s="1">
        <v>28.72</v>
      </c>
      <c r="M1228" s="1">
        <v>26.53</v>
      </c>
      <c r="N1228" s="1">
        <v>10.06</v>
      </c>
      <c r="O1228" s="1">
        <v>28.37</v>
      </c>
      <c r="P1228" s="1">
        <v>18.93</v>
      </c>
      <c r="Q1228" s="1">
        <v>2196.9699999999998</v>
      </c>
      <c r="R1228" s="1">
        <v>49</v>
      </c>
      <c r="S1228" s="1">
        <v>75.8</v>
      </c>
    </row>
    <row r="1229" spans="1:19" ht="15">
      <c r="A1229" s="1">
        <v>69</v>
      </c>
      <c r="B1229" s="1" t="s">
        <v>96</v>
      </c>
      <c r="C1229" s="1" t="s">
        <v>78</v>
      </c>
      <c r="D1229" s="1">
        <v>2022</v>
      </c>
      <c r="E1229" s="1" t="s">
        <v>21</v>
      </c>
      <c r="F1229" s="1">
        <v>168676157</v>
      </c>
      <c r="G1229" s="1">
        <v>86152592</v>
      </c>
      <c r="H1229" s="1">
        <v>82523565</v>
      </c>
      <c r="I1229" s="1">
        <v>15592747</v>
      </c>
      <c r="J1229" s="1">
        <v>955443</v>
      </c>
      <c r="K1229" s="1">
        <v>9.24</v>
      </c>
      <c r="L1229" s="1">
        <v>18.760000000000002</v>
      </c>
      <c r="M1229" s="1">
        <v>18.73</v>
      </c>
      <c r="N1229" s="1">
        <v>13.98</v>
      </c>
      <c r="O1229" s="1">
        <v>25.89</v>
      </c>
      <c r="P1229" s="1">
        <v>34.14</v>
      </c>
      <c r="Q1229" s="1">
        <v>11631.18</v>
      </c>
      <c r="R1229" s="1">
        <v>64</v>
      </c>
      <c r="S1229" s="1">
        <v>74.3</v>
      </c>
    </row>
    <row r="1230" spans="1:19" ht="15">
      <c r="A1230" s="1">
        <v>69</v>
      </c>
      <c r="B1230" s="1" t="s">
        <v>96</v>
      </c>
      <c r="C1230" s="1" t="s">
        <v>78</v>
      </c>
      <c r="D1230" s="1">
        <v>2022</v>
      </c>
      <c r="E1230" s="1" t="s">
        <v>22</v>
      </c>
      <c r="F1230" s="1">
        <v>81002677</v>
      </c>
      <c r="G1230" s="1">
        <v>40733306</v>
      </c>
      <c r="H1230" s="1">
        <v>40269371</v>
      </c>
      <c r="I1230" s="1">
        <v>6581856</v>
      </c>
      <c r="J1230" s="1">
        <v>265408</v>
      </c>
      <c r="K1230" s="1">
        <v>8.1300000000000008</v>
      </c>
      <c r="L1230" s="1">
        <v>27.71</v>
      </c>
      <c r="M1230" s="1">
        <v>28.55</v>
      </c>
      <c r="N1230" s="1">
        <v>5.57</v>
      </c>
      <c r="O1230" s="1">
        <v>39.93</v>
      </c>
      <c r="P1230" s="1">
        <v>17.850000000000001</v>
      </c>
      <c r="Q1230" s="1">
        <v>6805.59</v>
      </c>
      <c r="R1230" s="1">
        <v>53</v>
      </c>
      <c r="S1230" s="1">
        <v>60.5</v>
      </c>
    </row>
    <row r="1231" spans="1:19" ht="15">
      <c r="A1231" s="1">
        <v>69</v>
      </c>
      <c r="B1231" s="1" t="s">
        <v>96</v>
      </c>
      <c r="C1231" s="1" t="s">
        <v>78</v>
      </c>
      <c r="D1231" s="1">
        <v>2022</v>
      </c>
      <c r="E1231" s="1" t="s">
        <v>23</v>
      </c>
      <c r="F1231" s="1">
        <v>123390126</v>
      </c>
      <c r="G1231" s="1">
        <v>59835559</v>
      </c>
      <c r="H1231" s="1">
        <v>63554567</v>
      </c>
      <c r="I1231" s="1">
        <v>11504855</v>
      </c>
      <c r="J1231" s="1">
        <v>502657</v>
      </c>
      <c r="K1231" s="1">
        <v>9.32</v>
      </c>
      <c r="L1231" s="1">
        <v>26.13</v>
      </c>
      <c r="M1231" s="1">
        <v>33.950000000000003</v>
      </c>
      <c r="N1231" s="1">
        <v>6.67</v>
      </c>
      <c r="O1231" s="1">
        <v>21.5</v>
      </c>
      <c r="P1231" s="1">
        <v>24.86</v>
      </c>
      <c r="Q1231" s="1">
        <v>4340.63</v>
      </c>
      <c r="R1231" s="1">
        <v>74</v>
      </c>
      <c r="S1231" s="1">
        <v>60.4</v>
      </c>
    </row>
    <row r="1232" spans="1:19" ht="15">
      <c r="A1232" s="1">
        <v>69</v>
      </c>
      <c r="B1232" s="1" t="s">
        <v>96</v>
      </c>
      <c r="C1232" s="1" t="s">
        <v>78</v>
      </c>
      <c r="D1232" s="1">
        <v>2023</v>
      </c>
      <c r="E1232" s="1" t="s">
        <v>21</v>
      </c>
      <c r="F1232" s="1">
        <v>58432077</v>
      </c>
      <c r="G1232" s="1">
        <v>29699803</v>
      </c>
      <c r="H1232" s="1">
        <v>28732274</v>
      </c>
      <c r="I1232" s="1">
        <v>3767815</v>
      </c>
      <c r="J1232" s="1">
        <v>123446</v>
      </c>
      <c r="K1232" s="1">
        <v>6.45</v>
      </c>
      <c r="L1232" s="1">
        <v>13.88</v>
      </c>
      <c r="M1232" s="1">
        <v>29.87</v>
      </c>
      <c r="N1232" s="1">
        <v>10.16</v>
      </c>
      <c r="O1232" s="1">
        <v>23.96</v>
      </c>
      <c r="P1232" s="1">
        <v>36.03</v>
      </c>
      <c r="Q1232" s="1">
        <v>11233.28</v>
      </c>
      <c r="R1232" s="1">
        <v>48</v>
      </c>
      <c r="S1232" s="1">
        <v>75.2</v>
      </c>
    </row>
    <row r="1233" spans="1:19" ht="15">
      <c r="A1233" s="1">
        <v>69</v>
      </c>
      <c r="B1233" s="1" t="s">
        <v>96</v>
      </c>
      <c r="C1233" s="1" t="s">
        <v>78</v>
      </c>
      <c r="D1233" s="1">
        <v>2023</v>
      </c>
      <c r="E1233" s="1" t="s">
        <v>22</v>
      </c>
      <c r="F1233" s="1">
        <v>23687506</v>
      </c>
      <c r="G1233" s="1">
        <v>11964971</v>
      </c>
      <c r="H1233" s="1">
        <v>11722535</v>
      </c>
      <c r="I1233" s="1">
        <v>1896596</v>
      </c>
      <c r="J1233" s="1">
        <v>130711</v>
      </c>
      <c r="K1233" s="1">
        <v>8.01</v>
      </c>
      <c r="L1233" s="1">
        <v>10.15</v>
      </c>
      <c r="M1233" s="1">
        <v>33.57</v>
      </c>
      <c r="N1233" s="1">
        <v>5.28</v>
      </c>
      <c r="O1233" s="1">
        <v>31.79</v>
      </c>
      <c r="P1233" s="1">
        <v>32.43</v>
      </c>
      <c r="Q1233" s="1">
        <v>2653.24</v>
      </c>
      <c r="R1233" s="1">
        <v>61</v>
      </c>
      <c r="S1233" s="1">
        <v>77.7</v>
      </c>
    </row>
    <row r="1234" spans="1:19" ht="15">
      <c r="A1234" s="1">
        <v>69</v>
      </c>
      <c r="B1234" s="1" t="s">
        <v>96</v>
      </c>
      <c r="C1234" s="1" t="s">
        <v>78</v>
      </c>
      <c r="D1234" s="1">
        <v>2023</v>
      </c>
      <c r="E1234" s="1" t="s">
        <v>23</v>
      </c>
      <c r="F1234" s="1">
        <v>21969541</v>
      </c>
      <c r="G1234" s="1">
        <v>10749863</v>
      </c>
      <c r="H1234" s="1">
        <v>11219678</v>
      </c>
      <c r="I1234" s="1">
        <v>1363340</v>
      </c>
      <c r="J1234" s="1">
        <v>98334</v>
      </c>
      <c r="K1234" s="1">
        <v>6.21</v>
      </c>
      <c r="L1234" s="1">
        <v>16.64</v>
      </c>
      <c r="M1234" s="1">
        <v>33.39</v>
      </c>
      <c r="N1234" s="1">
        <v>6.75</v>
      </c>
      <c r="O1234" s="1">
        <v>20.75</v>
      </c>
      <c r="P1234" s="1">
        <v>17.27</v>
      </c>
      <c r="Q1234" s="1">
        <v>1705.9</v>
      </c>
      <c r="R1234" s="1">
        <v>52</v>
      </c>
      <c r="S1234" s="1">
        <v>60.5</v>
      </c>
    </row>
    <row r="1235" spans="1:19" ht="15">
      <c r="A1235" s="1">
        <v>69</v>
      </c>
      <c r="B1235" s="1" t="s">
        <v>96</v>
      </c>
      <c r="C1235" s="1" t="s">
        <v>78</v>
      </c>
      <c r="D1235" s="1">
        <v>2024</v>
      </c>
      <c r="E1235" s="1" t="s">
        <v>21</v>
      </c>
      <c r="F1235" s="1">
        <v>37474075</v>
      </c>
      <c r="G1235" s="1">
        <v>18545536</v>
      </c>
      <c r="H1235" s="1">
        <v>18928539</v>
      </c>
      <c r="I1235" s="1">
        <v>2463121</v>
      </c>
      <c r="J1235" s="1">
        <v>132262</v>
      </c>
      <c r="K1235" s="1">
        <v>6.57</v>
      </c>
      <c r="L1235" s="1">
        <v>26.13</v>
      </c>
      <c r="M1235" s="1">
        <v>22.71</v>
      </c>
      <c r="N1235" s="1">
        <v>14.92</v>
      </c>
      <c r="O1235" s="1">
        <v>37.17</v>
      </c>
      <c r="P1235" s="1">
        <v>26.85</v>
      </c>
      <c r="Q1235" s="1">
        <v>1903.46</v>
      </c>
      <c r="R1235" s="1">
        <v>54</v>
      </c>
      <c r="S1235" s="1">
        <v>81.900000000000006</v>
      </c>
    </row>
    <row r="1236" spans="1:19" ht="15">
      <c r="A1236" s="1">
        <v>69</v>
      </c>
      <c r="B1236" s="1" t="s">
        <v>96</v>
      </c>
      <c r="C1236" s="1" t="s">
        <v>78</v>
      </c>
      <c r="D1236" s="1">
        <v>2024</v>
      </c>
      <c r="E1236" s="1" t="s">
        <v>22</v>
      </c>
      <c r="F1236" s="1">
        <v>160924013</v>
      </c>
      <c r="G1236" s="1">
        <v>81827154</v>
      </c>
      <c r="H1236" s="1">
        <v>79096859</v>
      </c>
      <c r="I1236" s="1">
        <v>12589619</v>
      </c>
      <c r="J1236" s="1">
        <v>456962</v>
      </c>
      <c r="K1236" s="1">
        <v>7.82</v>
      </c>
      <c r="L1236" s="1">
        <v>11.82</v>
      </c>
      <c r="M1236" s="1">
        <v>13.41</v>
      </c>
      <c r="N1236" s="1">
        <v>6.98</v>
      </c>
      <c r="O1236" s="1">
        <v>32.79</v>
      </c>
      <c r="P1236" s="1">
        <v>35.83</v>
      </c>
      <c r="Q1236" s="1">
        <v>923.95</v>
      </c>
      <c r="R1236" s="1">
        <v>72</v>
      </c>
      <c r="S1236" s="1">
        <v>65.7</v>
      </c>
    </row>
    <row r="1237" spans="1:19" ht="15">
      <c r="A1237" s="1">
        <v>69</v>
      </c>
      <c r="B1237" s="1" t="s">
        <v>96</v>
      </c>
      <c r="C1237" s="1" t="s">
        <v>78</v>
      </c>
      <c r="D1237" s="1">
        <v>2024</v>
      </c>
      <c r="E1237" s="1" t="s">
        <v>23</v>
      </c>
      <c r="F1237" s="1">
        <v>115385371</v>
      </c>
      <c r="G1237" s="1">
        <v>59787723</v>
      </c>
      <c r="H1237" s="1">
        <v>55597648</v>
      </c>
      <c r="I1237" s="1">
        <v>8691948</v>
      </c>
      <c r="J1237" s="1">
        <v>296029</v>
      </c>
      <c r="K1237" s="1">
        <v>7.53</v>
      </c>
      <c r="L1237" s="1">
        <v>19.96</v>
      </c>
      <c r="M1237" s="1">
        <v>25.23</v>
      </c>
      <c r="N1237" s="1">
        <v>9.02</v>
      </c>
      <c r="O1237" s="1">
        <v>36.69</v>
      </c>
      <c r="P1237" s="1">
        <v>32.89</v>
      </c>
      <c r="Q1237" s="1">
        <v>8687.15</v>
      </c>
      <c r="R1237" s="1">
        <v>81</v>
      </c>
      <c r="S1237" s="1">
        <v>82.3</v>
      </c>
    </row>
    <row r="1238" spans="1:19" ht="15">
      <c r="A1238" s="1">
        <v>69</v>
      </c>
      <c r="B1238" s="1" t="s">
        <v>96</v>
      </c>
      <c r="C1238" s="1" t="s">
        <v>78</v>
      </c>
      <c r="D1238" s="1">
        <v>2025</v>
      </c>
      <c r="E1238" s="1" t="s">
        <v>21</v>
      </c>
      <c r="F1238" s="1">
        <v>103132511</v>
      </c>
      <c r="G1238" s="1">
        <v>49818903</v>
      </c>
      <c r="H1238" s="1">
        <v>53313608</v>
      </c>
      <c r="I1238" s="1">
        <v>8853644</v>
      </c>
      <c r="J1238" s="1">
        <v>468569</v>
      </c>
      <c r="K1238" s="1">
        <v>8.58</v>
      </c>
      <c r="L1238" s="1">
        <v>21.13</v>
      </c>
      <c r="M1238" s="1">
        <v>32.14</v>
      </c>
      <c r="N1238" s="1">
        <v>8.26</v>
      </c>
      <c r="O1238" s="1">
        <v>20.14</v>
      </c>
      <c r="P1238" s="1">
        <v>19.09</v>
      </c>
      <c r="Q1238" s="1">
        <v>9337.7800000000007</v>
      </c>
      <c r="R1238" s="1">
        <v>48</v>
      </c>
      <c r="S1238" s="1">
        <v>61.6</v>
      </c>
    </row>
    <row r="1239" spans="1:19" ht="15">
      <c r="A1239" s="1">
        <v>69</v>
      </c>
      <c r="B1239" s="1" t="s">
        <v>96</v>
      </c>
      <c r="C1239" s="1" t="s">
        <v>78</v>
      </c>
      <c r="D1239" s="1">
        <v>2025</v>
      </c>
      <c r="E1239" s="1" t="s">
        <v>22</v>
      </c>
      <c r="F1239" s="1">
        <v>154901500</v>
      </c>
      <c r="G1239" s="1">
        <v>75837226</v>
      </c>
      <c r="H1239" s="1">
        <v>79064274</v>
      </c>
      <c r="I1239" s="1">
        <v>13106043</v>
      </c>
      <c r="J1239" s="1">
        <v>660514</v>
      </c>
      <c r="K1239" s="1">
        <v>8.4600000000000009</v>
      </c>
      <c r="L1239" s="1">
        <v>20.86</v>
      </c>
      <c r="M1239" s="1">
        <v>17.600000000000001</v>
      </c>
      <c r="N1239" s="1">
        <v>13.48</v>
      </c>
      <c r="O1239" s="1">
        <v>37.36</v>
      </c>
      <c r="P1239" s="1">
        <v>18.04</v>
      </c>
      <c r="Q1239" s="1">
        <v>11516.77</v>
      </c>
      <c r="R1239" s="1">
        <v>45</v>
      </c>
      <c r="S1239" s="1">
        <v>75.400000000000006</v>
      </c>
    </row>
    <row r="1240" spans="1:19" ht="15">
      <c r="A1240" s="1">
        <v>69</v>
      </c>
      <c r="B1240" s="1" t="s">
        <v>96</v>
      </c>
      <c r="C1240" s="1" t="s">
        <v>78</v>
      </c>
      <c r="D1240" s="1">
        <v>2025</v>
      </c>
      <c r="E1240" s="1" t="s">
        <v>23</v>
      </c>
      <c r="F1240" s="1">
        <v>126050089</v>
      </c>
      <c r="G1240" s="1">
        <v>63210100</v>
      </c>
      <c r="H1240" s="1">
        <v>62839989</v>
      </c>
      <c r="I1240" s="1">
        <v>11243399</v>
      </c>
      <c r="J1240" s="1">
        <v>439725</v>
      </c>
      <c r="K1240" s="1">
        <v>8.92</v>
      </c>
      <c r="L1240" s="1">
        <v>11.33</v>
      </c>
      <c r="M1240" s="1">
        <v>17.829999999999998</v>
      </c>
      <c r="N1240" s="1">
        <v>9.9700000000000006</v>
      </c>
      <c r="O1240" s="1">
        <v>20.77</v>
      </c>
      <c r="P1240" s="1">
        <v>38.17</v>
      </c>
      <c r="Q1240" s="1">
        <v>7664.36</v>
      </c>
      <c r="R1240" s="1">
        <v>80</v>
      </c>
      <c r="S1240" s="1">
        <v>78.3</v>
      </c>
    </row>
    <row r="1241" spans="1:19" ht="15">
      <c r="A1241" s="1">
        <v>69</v>
      </c>
      <c r="B1241" s="1" t="s">
        <v>96</v>
      </c>
      <c r="C1241" s="1" t="s">
        <v>78</v>
      </c>
      <c r="D1241" s="1">
        <v>2026</v>
      </c>
      <c r="E1241" s="1" t="s">
        <v>21</v>
      </c>
      <c r="F1241" s="1">
        <v>160994788</v>
      </c>
      <c r="G1241" s="1">
        <v>82345353</v>
      </c>
      <c r="H1241" s="1">
        <v>78649435</v>
      </c>
      <c r="I1241" s="1">
        <v>11081476</v>
      </c>
      <c r="J1241" s="1">
        <v>784125</v>
      </c>
      <c r="K1241" s="1">
        <v>6.88</v>
      </c>
      <c r="L1241" s="1">
        <v>29.79</v>
      </c>
      <c r="M1241" s="1">
        <v>26.53</v>
      </c>
      <c r="N1241" s="1">
        <v>10.29</v>
      </c>
      <c r="O1241" s="1">
        <v>26.7</v>
      </c>
      <c r="P1241" s="1">
        <v>29.59</v>
      </c>
      <c r="Q1241" s="1">
        <v>7519.38</v>
      </c>
      <c r="R1241" s="1">
        <v>43</v>
      </c>
      <c r="S1241" s="1">
        <v>66.099999999999994</v>
      </c>
    </row>
    <row r="1242" spans="1:19" ht="15">
      <c r="A1242" s="1">
        <v>69</v>
      </c>
      <c r="B1242" s="1" t="s">
        <v>96</v>
      </c>
      <c r="C1242" s="1" t="s">
        <v>78</v>
      </c>
      <c r="D1242" s="1">
        <v>2026</v>
      </c>
      <c r="E1242" s="1" t="s">
        <v>22</v>
      </c>
      <c r="F1242" s="1">
        <v>71248936</v>
      </c>
      <c r="G1242" s="1">
        <v>36447313</v>
      </c>
      <c r="H1242" s="1">
        <v>34801623</v>
      </c>
      <c r="I1242" s="1">
        <v>5162410</v>
      </c>
      <c r="J1242" s="1">
        <v>174208</v>
      </c>
      <c r="K1242" s="1">
        <v>7.25</v>
      </c>
      <c r="L1242" s="1">
        <v>22.39</v>
      </c>
      <c r="M1242" s="1">
        <v>22.99</v>
      </c>
      <c r="N1242" s="1">
        <v>9.43</v>
      </c>
      <c r="O1242" s="1">
        <v>21.44</v>
      </c>
      <c r="P1242" s="1">
        <v>35.049999999999997</v>
      </c>
      <c r="Q1242" s="1">
        <v>6049.43</v>
      </c>
      <c r="R1242" s="1">
        <v>47</v>
      </c>
      <c r="S1242" s="1">
        <v>72.599999999999994</v>
      </c>
    </row>
    <row r="1243" spans="1:19" ht="15">
      <c r="A1243" s="1">
        <v>69</v>
      </c>
      <c r="B1243" s="1" t="s">
        <v>96</v>
      </c>
      <c r="C1243" s="1" t="s">
        <v>78</v>
      </c>
      <c r="D1243" s="1">
        <v>2026</v>
      </c>
      <c r="E1243" s="1" t="s">
        <v>23</v>
      </c>
      <c r="F1243" s="1">
        <v>25944980</v>
      </c>
      <c r="G1243" s="1">
        <v>13080211</v>
      </c>
      <c r="H1243" s="1">
        <v>12864769</v>
      </c>
      <c r="I1243" s="1">
        <v>1917796</v>
      </c>
      <c r="J1243" s="1">
        <v>146057</v>
      </c>
      <c r="K1243" s="1">
        <v>7.39</v>
      </c>
      <c r="L1243" s="1">
        <v>14.18</v>
      </c>
      <c r="M1243" s="1">
        <v>19.600000000000001</v>
      </c>
      <c r="N1243" s="1">
        <v>9.92</v>
      </c>
      <c r="O1243" s="1">
        <v>24.68</v>
      </c>
      <c r="P1243" s="1">
        <v>21.1</v>
      </c>
      <c r="Q1243" s="1">
        <v>4751.3599999999997</v>
      </c>
      <c r="R1243" s="1">
        <v>57</v>
      </c>
      <c r="S1243" s="1">
        <v>72.8</v>
      </c>
    </row>
    <row r="1244" spans="1:19" ht="15">
      <c r="A1244" s="1">
        <v>70</v>
      </c>
      <c r="B1244" s="1" t="s">
        <v>97</v>
      </c>
      <c r="C1244" s="1" t="s">
        <v>78</v>
      </c>
      <c r="D1244" s="1">
        <v>2021</v>
      </c>
      <c r="E1244" s="1" t="s">
        <v>21</v>
      </c>
      <c r="F1244" s="1">
        <v>25412218</v>
      </c>
      <c r="G1244" s="1">
        <v>12388220</v>
      </c>
      <c r="H1244" s="1">
        <v>13023998</v>
      </c>
      <c r="I1244" s="1">
        <v>2294430</v>
      </c>
      <c r="J1244" s="1">
        <v>165276</v>
      </c>
      <c r="K1244" s="1">
        <v>9.0299999999999994</v>
      </c>
      <c r="L1244" s="1">
        <v>10.56</v>
      </c>
      <c r="M1244" s="1">
        <v>14.61</v>
      </c>
      <c r="N1244" s="1">
        <v>10.54</v>
      </c>
      <c r="O1244" s="1">
        <v>25.89</v>
      </c>
      <c r="P1244" s="1">
        <v>20.79</v>
      </c>
      <c r="Q1244" s="1">
        <v>8687.5400000000009</v>
      </c>
      <c r="R1244" s="1">
        <v>43</v>
      </c>
      <c r="S1244" s="1">
        <v>70.2</v>
      </c>
    </row>
    <row r="1245" spans="1:19" ht="15">
      <c r="A1245" s="1">
        <v>70</v>
      </c>
      <c r="B1245" s="1" t="s">
        <v>97</v>
      </c>
      <c r="C1245" s="1" t="s">
        <v>78</v>
      </c>
      <c r="D1245" s="1">
        <v>2021</v>
      </c>
      <c r="E1245" s="1" t="s">
        <v>22</v>
      </c>
      <c r="F1245" s="1">
        <v>26486889</v>
      </c>
      <c r="G1245" s="1">
        <v>13062532</v>
      </c>
      <c r="H1245" s="1">
        <v>13424357</v>
      </c>
      <c r="I1245" s="1">
        <v>1444348</v>
      </c>
      <c r="J1245" s="1">
        <v>69699</v>
      </c>
      <c r="K1245" s="1">
        <v>5.45</v>
      </c>
      <c r="L1245" s="1">
        <v>11.65</v>
      </c>
      <c r="M1245" s="1">
        <v>12.19</v>
      </c>
      <c r="N1245" s="1">
        <v>7.16</v>
      </c>
      <c r="O1245" s="1">
        <v>28.05</v>
      </c>
      <c r="P1245" s="1">
        <v>25.62</v>
      </c>
      <c r="Q1245" s="1">
        <v>7932.79</v>
      </c>
      <c r="R1245" s="1">
        <v>82</v>
      </c>
      <c r="S1245" s="1">
        <v>77.099999999999994</v>
      </c>
    </row>
    <row r="1246" spans="1:19" ht="15">
      <c r="A1246" s="1">
        <v>70</v>
      </c>
      <c r="B1246" s="1" t="s">
        <v>97</v>
      </c>
      <c r="C1246" s="1" t="s">
        <v>78</v>
      </c>
      <c r="D1246" s="1">
        <v>2021</v>
      </c>
      <c r="E1246" s="1" t="s">
        <v>23</v>
      </c>
      <c r="F1246" s="1">
        <v>5523878</v>
      </c>
      <c r="G1246" s="1">
        <v>2707312</v>
      </c>
      <c r="H1246" s="1">
        <v>2816566</v>
      </c>
      <c r="I1246" s="1">
        <v>429907</v>
      </c>
      <c r="J1246" s="1">
        <v>23972</v>
      </c>
      <c r="K1246" s="1">
        <v>7.78</v>
      </c>
      <c r="L1246" s="1">
        <v>29.38</v>
      </c>
      <c r="M1246" s="1">
        <v>33.58</v>
      </c>
      <c r="N1246" s="1">
        <v>14.96</v>
      </c>
      <c r="O1246" s="1">
        <v>24.58</v>
      </c>
      <c r="P1246" s="1">
        <v>36.75</v>
      </c>
      <c r="Q1246" s="1">
        <v>3234.17</v>
      </c>
      <c r="R1246" s="1">
        <v>53</v>
      </c>
      <c r="S1246" s="1">
        <v>65.5</v>
      </c>
    </row>
    <row r="1247" spans="1:19" ht="15">
      <c r="A1247" s="1">
        <v>70</v>
      </c>
      <c r="B1247" s="1" t="s">
        <v>97</v>
      </c>
      <c r="C1247" s="1" t="s">
        <v>78</v>
      </c>
      <c r="D1247" s="1">
        <v>2022</v>
      </c>
      <c r="E1247" s="1" t="s">
        <v>21</v>
      </c>
      <c r="F1247" s="1">
        <v>57331421</v>
      </c>
      <c r="G1247" s="1">
        <v>29708181</v>
      </c>
      <c r="H1247" s="1">
        <v>27623240</v>
      </c>
      <c r="I1247" s="1">
        <v>3195048</v>
      </c>
      <c r="J1247" s="1">
        <v>194408</v>
      </c>
      <c r="K1247" s="1">
        <v>5.57</v>
      </c>
      <c r="L1247" s="1">
        <v>10.76</v>
      </c>
      <c r="M1247" s="1">
        <v>15.71</v>
      </c>
      <c r="N1247" s="1">
        <v>12.64</v>
      </c>
      <c r="O1247" s="1">
        <v>38.04</v>
      </c>
      <c r="P1247" s="1">
        <v>28.13</v>
      </c>
      <c r="Q1247" s="1">
        <v>8541.77</v>
      </c>
      <c r="R1247" s="1">
        <v>77</v>
      </c>
      <c r="S1247" s="1">
        <v>80.099999999999994</v>
      </c>
    </row>
    <row r="1248" spans="1:19" ht="15">
      <c r="A1248" s="1">
        <v>70</v>
      </c>
      <c r="B1248" s="1" t="s">
        <v>97</v>
      </c>
      <c r="C1248" s="1" t="s">
        <v>78</v>
      </c>
      <c r="D1248" s="1">
        <v>2022</v>
      </c>
      <c r="E1248" s="1" t="s">
        <v>22</v>
      </c>
      <c r="F1248" s="1">
        <v>15308203</v>
      </c>
      <c r="G1248" s="1">
        <v>7426589</v>
      </c>
      <c r="H1248" s="1">
        <v>7881614</v>
      </c>
      <c r="I1248" s="1">
        <v>959329</v>
      </c>
      <c r="J1248" s="1">
        <v>44496</v>
      </c>
      <c r="K1248" s="1">
        <v>6.27</v>
      </c>
      <c r="L1248" s="1">
        <v>16.149999999999999</v>
      </c>
      <c r="M1248" s="1">
        <v>24.49</v>
      </c>
      <c r="N1248" s="1">
        <v>6.11</v>
      </c>
      <c r="O1248" s="1">
        <v>20.7</v>
      </c>
      <c r="P1248" s="1">
        <v>37.69</v>
      </c>
      <c r="Q1248" s="1">
        <v>9484.9500000000007</v>
      </c>
      <c r="R1248" s="1">
        <v>79</v>
      </c>
      <c r="S1248" s="1">
        <v>60.4</v>
      </c>
    </row>
    <row r="1249" spans="1:19" ht="15">
      <c r="A1249" s="1">
        <v>70</v>
      </c>
      <c r="B1249" s="1" t="s">
        <v>97</v>
      </c>
      <c r="C1249" s="1" t="s">
        <v>78</v>
      </c>
      <c r="D1249" s="1">
        <v>2022</v>
      </c>
      <c r="E1249" s="1" t="s">
        <v>23</v>
      </c>
      <c r="F1249" s="1">
        <v>90563580</v>
      </c>
      <c r="G1249" s="1">
        <v>46415800</v>
      </c>
      <c r="H1249" s="1">
        <v>44147780</v>
      </c>
      <c r="I1249" s="1">
        <v>8785325</v>
      </c>
      <c r="J1249" s="1">
        <v>358601</v>
      </c>
      <c r="K1249" s="1">
        <v>9.6999999999999993</v>
      </c>
      <c r="L1249" s="1">
        <v>26.33</v>
      </c>
      <c r="M1249" s="1">
        <v>33.74</v>
      </c>
      <c r="N1249" s="1">
        <v>14.5</v>
      </c>
      <c r="O1249" s="1">
        <v>24.85</v>
      </c>
      <c r="P1249" s="1">
        <v>30.22</v>
      </c>
      <c r="Q1249" s="1">
        <v>10352.81</v>
      </c>
      <c r="R1249" s="1">
        <v>73</v>
      </c>
      <c r="S1249" s="1">
        <v>62</v>
      </c>
    </row>
    <row r="1250" spans="1:19" ht="15">
      <c r="A1250" s="1">
        <v>70</v>
      </c>
      <c r="B1250" s="1" t="s">
        <v>97</v>
      </c>
      <c r="C1250" s="1" t="s">
        <v>78</v>
      </c>
      <c r="D1250" s="1">
        <v>2023</v>
      </c>
      <c r="E1250" s="1" t="s">
        <v>21</v>
      </c>
      <c r="F1250" s="1">
        <v>32796498</v>
      </c>
      <c r="G1250" s="1">
        <v>15977836</v>
      </c>
      <c r="H1250" s="1">
        <v>16818662</v>
      </c>
      <c r="I1250" s="1">
        <v>3159020</v>
      </c>
      <c r="J1250" s="1">
        <v>164188</v>
      </c>
      <c r="K1250" s="1">
        <v>9.6300000000000008</v>
      </c>
      <c r="L1250" s="1">
        <v>16.57</v>
      </c>
      <c r="M1250" s="1">
        <v>17.14</v>
      </c>
      <c r="N1250" s="1">
        <v>9.61</v>
      </c>
      <c r="O1250" s="1">
        <v>37.17</v>
      </c>
      <c r="P1250" s="1">
        <v>16.309999999999999</v>
      </c>
      <c r="Q1250" s="1">
        <v>6192.76</v>
      </c>
      <c r="R1250" s="1">
        <v>58</v>
      </c>
      <c r="S1250" s="1">
        <v>68.2</v>
      </c>
    </row>
    <row r="1251" spans="1:19" ht="15">
      <c r="A1251" s="1">
        <v>70</v>
      </c>
      <c r="B1251" s="1" t="s">
        <v>97</v>
      </c>
      <c r="C1251" s="1" t="s">
        <v>78</v>
      </c>
      <c r="D1251" s="1">
        <v>2023</v>
      </c>
      <c r="E1251" s="1" t="s">
        <v>22</v>
      </c>
      <c r="F1251" s="1">
        <v>147700645</v>
      </c>
      <c r="G1251" s="1">
        <v>73770579</v>
      </c>
      <c r="H1251" s="1">
        <v>73930066</v>
      </c>
      <c r="I1251" s="1">
        <v>11537896</v>
      </c>
      <c r="J1251" s="1">
        <v>681533</v>
      </c>
      <c r="K1251" s="1">
        <v>7.81</v>
      </c>
      <c r="L1251" s="1">
        <v>16.440000000000001</v>
      </c>
      <c r="M1251" s="1">
        <v>19.600000000000001</v>
      </c>
      <c r="N1251" s="1">
        <v>12.44</v>
      </c>
      <c r="O1251" s="1">
        <v>28.46</v>
      </c>
      <c r="P1251" s="1">
        <v>26.42</v>
      </c>
      <c r="Q1251" s="1">
        <v>4992.68</v>
      </c>
      <c r="R1251" s="1">
        <v>50</v>
      </c>
      <c r="S1251" s="1">
        <v>68</v>
      </c>
    </row>
    <row r="1252" spans="1:19" ht="15">
      <c r="A1252" s="1">
        <v>70</v>
      </c>
      <c r="B1252" s="1" t="s">
        <v>97</v>
      </c>
      <c r="C1252" s="1" t="s">
        <v>78</v>
      </c>
      <c r="D1252" s="1">
        <v>2023</v>
      </c>
      <c r="E1252" s="1" t="s">
        <v>23</v>
      </c>
      <c r="F1252" s="1">
        <v>82942740</v>
      </c>
      <c r="G1252" s="1">
        <v>40647680</v>
      </c>
      <c r="H1252" s="1">
        <v>42295060</v>
      </c>
      <c r="I1252" s="1">
        <v>4427997</v>
      </c>
      <c r="J1252" s="1">
        <v>159916</v>
      </c>
      <c r="K1252" s="1">
        <v>5.34</v>
      </c>
      <c r="L1252" s="1">
        <v>22.9</v>
      </c>
      <c r="M1252" s="1">
        <v>10.45</v>
      </c>
      <c r="N1252" s="1">
        <v>13.82</v>
      </c>
      <c r="O1252" s="1">
        <v>32</v>
      </c>
      <c r="P1252" s="1">
        <v>34.979999999999997</v>
      </c>
      <c r="Q1252" s="1">
        <v>3012.07</v>
      </c>
      <c r="R1252" s="1">
        <v>69</v>
      </c>
      <c r="S1252" s="1">
        <v>62.2</v>
      </c>
    </row>
    <row r="1253" spans="1:19" ht="15">
      <c r="A1253" s="1">
        <v>70</v>
      </c>
      <c r="B1253" s="1" t="s">
        <v>97</v>
      </c>
      <c r="C1253" s="1" t="s">
        <v>78</v>
      </c>
      <c r="D1253" s="1">
        <v>2024</v>
      </c>
      <c r="E1253" s="1" t="s">
        <v>21</v>
      </c>
      <c r="F1253" s="1">
        <v>143128300</v>
      </c>
      <c r="G1253" s="1">
        <v>74114101</v>
      </c>
      <c r="H1253" s="1">
        <v>69014199</v>
      </c>
      <c r="I1253" s="1">
        <v>13196493</v>
      </c>
      <c r="J1253" s="1">
        <v>616084</v>
      </c>
      <c r="K1253" s="1">
        <v>9.2200000000000006</v>
      </c>
      <c r="L1253" s="1">
        <v>22.97</v>
      </c>
      <c r="M1253" s="1">
        <v>30.16</v>
      </c>
      <c r="N1253" s="1">
        <v>10.09</v>
      </c>
      <c r="O1253" s="1">
        <v>24.65</v>
      </c>
      <c r="P1253" s="1">
        <v>29.14</v>
      </c>
      <c r="Q1253" s="1">
        <v>3099.08</v>
      </c>
      <c r="R1253" s="1">
        <v>78</v>
      </c>
      <c r="S1253" s="1">
        <v>79.599999999999994</v>
      </c>
    </row>
    <row r="1254" spans="1:19" ht="15">
      <c r="A1254" s="1">
        <v>70</v>
      </c>
      <c r="B1254" s="1" t="s">
        <v>97</v>
      </c>
      <c r="C1254" s="1" t="s">
        <v>78</v>
      </c>
      <c r="D1254" s="1">
        <v>2024</v>
      </c>
      <c r="E1254" s="1" t="s">
        <v>22</v>
      </c>
      <c r="F1254" s="1">
        <v>124504897</v>
      </c>
      <c r="G1254" s="1">
        <v>61210747</v>
      </c>
      <c r="H1254" s="1">
        <v>63294150</v>
      </c>
      <c r="I1254" s="1">
        <v>10645932</v>
      </c>
      <c r="J1254" s="1">
        <v>386236</v>
      </c>
      <c r="K1254" s="1">
        <v>8.5500000000000007</v>
      </c>
      <c r="L1254" s="1">
        <v>10.210000000000001</v>
      </c>
      <c r="M1254" s="1">
        <v>21.92</v>
      </c>
      <c r="N1254" s="1">
        <v>14.39</v>
      </c>
      <c r="O1254" s="1">
        <v>38.659999999999997</v>
      </c>
      <c r="P1254" s="1">
        <v>18.579999999999998</v>
      </c>
      <c r="Q1254" s="1">
        <v>2865.04</v>
      </c>
      <c r="R1254" s="1">
        <v>65</v>
      </c>
      <c r="S1254" s="1">
        <v>77.8</v>
      </c>
    </row>
    <row r="1255" spans="1:19" ht="15">
      <c r="A1255" s="1">
        <v>70</v>
      </c>
      <c r="B1255" s="1" t="s">
        <v>97</v>
      </c>
      <c r="C1255" s="1" t="s">
        <v>78</v>
      </c>
      <c r="D1255" s="1">
        <v>2024</v>
      </c>
      <c r="E1255" s="1" t="s">
        <v>23</v>
      </c>
      <c r="F1255" s="1">
        <v>87539454</v>
      </c>
      <c r="G1255" s="1">
        <v>44986856</v>
      </c>
      <c r="H1255" s="1">
        <v>42552598</v>
      </c>
      <c r="I1255" s="1">
        <v>8224138</v>
      </c>
      <c r="J1255" s="1">
        <v>315612</v>
      </c>
      <c r="K1255" s="1">
        <v>9.39</v>
      </c>
      <c r="L1255" s="1">
        <v>16.239999999999998</v>
      </c>
      <c r="M1255" s="1">
        <v>32.11</v>
      </c>
      <c r="N1255" s="1">
        <v>7.09</v>
      </c>
      <c r="O1255" s="1">
        <v>28.74</v>
      </c>
      <c r="P1255" s="1">
        <v>25.4</v>
      </c>
      <c r="Q1255" s="1">
        <v>10232.790000000001</v>
      </c>
      <c r="R1255" s="1">
        <v>40</v>
      </c>
      <c r="S1255" s="1">
        <v>69.099999999999994</v>
      </c>
    </row>
    <row r="1256" spans="1:19" ht="15">
      <c r="A1256" s="1">
        <v>70</v>
      </c>
      <c r="B1256" s="1" t="s">
        <v>97</v>
      </c>
      <c r="C1256" s="1" t="s">
        <v>78</v>
      </c>
      <c r="D1256" s="1">
        <v>2025</v>
      </c>
      <c r="E1256" s="1" t="s">
        <v>21</v>
      </c>
      <c r="F1256" s="1">
        <v>171415909</v>
      </c>
      <c r="G1256" s="1">
        <v>83538044</v>
      </c>
      <c r="H1256" s="1">
        <v>87877865</v>
      </c>
      <c r="I1256" s="1">
        <v>12346724</v>
      </c>
      <c r="J1256" s="1">
        <v>802391</v>
      </c>
      <c r="K1256" s="1">
        <v>7.2</v>
      </c>
      <c r="L1256" s="1">
        <v>28.74</v>
      </c>
      <c r="M1256" s="1">
        <v>32.880000000000003</v>
      </c>
      <c r="N1256" s="1">
        <v>12.66</v>
      </c>
      <c r="O1256" s="1">
        <v>26.88</v>
      </c>
      <c r="P1256" s="1">
        <v>22.17</v>
      </c>
      <c r="Q1256" s="1">
        <v>9453.99</v>
      </c>
      <c r="R1256" s="1">
        <v>73</v>
      </c>
      <c r="S1256" s="1">
        <v>68.599999999999994</v>
      </c>
    </row>
    <row r="1257" spans="1:19" ht="15">
      <c r="A1257" s="1">
        <v>70</v>
      </c>
      <c r="B1257" s="1" t="s">
        <v>97</v>
      </c>
      <c r="C1257" s="1" t="s">
        <v>78</v>
      </c>
      <c r="D1257" s="1">
        <v>2025</v>
      </c>
      <c r="E1257" s="1" t="s">
        <v>22</v>
      </c>
      <c r="F1257" s="1">
        <v>93050155</v>
      </c>
      <c r="G1257" s="1">
        <v>48049093</v>
      </c>
      <c r="H1257" s="1">
        <v>45001062</v>
      </c>
      <c r="I1257" s="1">
        <v>8210801</v>
      </c>
      <c r="J1257" s="1">
        <v>630450</v>
      </c>
      <c r="K1257" s="1">
        <v>8.82</v>
      </c>
      <c r="L1257" s="1">
        <v>10.33</v>
      </c>
      <c r="M1257" s="1">
        <v>27.81</v>
      </c>
      <c r="N1257" s="1">
        <v>13.21</v>
      </c>
      <c r="O1257" s="1">
        <v>36.549999999999997</v>
      </c>
      <c r="P1257" s="1">
        <v>25.73</v>
      </c>
      <c r="Q1257" s="1">
        <v>8175.51</v>
      </c>
      <c r="R1257" s="1">
        <v>74</v>
      </c>
      <c r="S1257" s="1">
        <v>65</v>
      </c>
    </row>
    <row r="1258" spans="1:19" ht="15">
      <c r="A1258" s="1">
        <v>70</v>
      </c>
      <c r="B1258" s="1" t="s">
        <v>97</v>
      </c>
      <c r="C1258" s="1" t="s">
        <v>78</v>
      </c>
      <c r="D1258" s="1">
        <v>2025</v>
      </c>
      <c r="E1258" s="1" t="s">
        <v>23</v>
      </c>
      <c r="F1258" s="1">
        <v>11748538</v>
      </c>
      <c r="G1258" s="1">
        <v>5862538</v>
      </c>
      <c r="H1258" s="1">
        <v>5886000</v>
      </c>
      <c r="I1258" s="1">
        <v>804642</v>
      </c>
      <c r="J1258" s="1">
        <v>25284</v>
      </c>
      <c r="K1258" s="1">
        <v>6.85</v>
      </c>
      <c r="L1258" s="1">
        <v>17.77</v>
      </c>
      <c r="M1258" s="1">
        <v>11.7</v>
      </c>
      <c r="N1258" s="1">
        <v>10.01</v>
      </c>
      <c r="O1258" s="1">
        <v>27.49</v>
      </c>
      <c r="P1258" s="1">
        <v>38.14</v>
      </c>
      <c r="Q1258" s="1">
        <v>7835.62</v>
      </c>
      <c r="R1258" s="1">
        <v>54</v>
      </c>
      <c r="S1258" s="1">
        <v>75.5</v>
      </c>
    </row>
    <row r="1259" spans="1:19" ht="15">
      <c r="A1259" s="1">
        <v>70</v>
      </c>
      <c r="B1259" s="1" t="s">
        <v>97</v>
      </c>
      <c r="C1259" s="1" t="s">
        <v>78</v>
      </c>
      <c r="D1259" s="1">
        <v>2026</v>
      </c>
      <c r="E1259" s="1" t="s">
        <v>21</v>
      </c>
      <c r="F1259" s="1">
        <v>68750938</v>
      </c>
      <c r="G1259" s="1">
        <v>34308241</v>
      </c>
      <c r="H1259" s="1">
        <v>34442697</v>
      </c>
      <c r="I1259" s="1">
        <v>4651328</v>
      </c>
      <c r="J1259" s="1">
        <v>158242</v>
      </c>
      <c r="K1259" s="1">
        <v>6.77</v>
      </c>
      <c r="L1259" s="1">
        <v>22.12</v>
      </c>
      <c r="M1259" s="1">
        <v>34.299999999999997</v>
      </c>
      <c r="N1259" s="1">
        <v>11.04</v>
      </c>
      <c r="O1259" s="1">
        <v>21.01</v>
      </c>
      <c r="P1259" s="1">
        <v>20.309999999999999</v>
      </c>
      <c r="Q1259" s="1">
        <v>4373.3</v>
      </c>
      <c r="R1259" s="1">
        <v>74</v>
      </c>
      <c r="S1259" s="1">
        <v>82.7</v>
      </c>
    </row>
    <row r="1260" spans="1:19" ht="15">
      <c r="A1260" s="1">
        <v>70</v>
      </c>
      <c r="B1260" s="1" t="s">
        <v>97</v>
      </c>
      <c r="C1260" s="1" t="s">
        <v>78</v>
      </c>
      <c r="D1260" s="1">
        <v>2026</v>
      </c>
      <c r="E1260" s="1" t="s">
        <v>22</v>
      </c>
      <c r="F1260" s="1">
        <v>166936599</v>
      </c>
      <c r="G1260" s="1">
        <v>83266740</v>
      </c>
      <c r="H1260" s="1">
        <v>83669859</v>
      </c>
      <c r="I1260" s="1">
        <v>13403873</v>
      </c>
      <c r="J1260" s="1">
        <v>535710</v>
      </c>
      <c r="K1260" s="1">
        <v>8.0299999999999994</v>
      </c>
      <c r="L1260" s="1">
        <v>20.89</v>
      </c>
      <c r="M1260" s="1">
        <v>24.74</v>
      </c>
      <c r="N1260" s="1">
        <v>8.73</v>
      </c>
      <c r="O1260" s="1">
        <v>37.65</v>
      </c>
      <c r="P1260" s="1">
        <v>17.3</v>
      </c>
      <c r="Q1260" s="1">
        <v>6093.23</v>
      </c>
      <c r="R1260" s="1">
        <v>65</v>
      </c>
      <c r="S1260" s="1">
        <v>64.3</v>
      </c>
    </row>
    <row r="1261" spans="1:19" ht="15">
      <c r="A1261" s="1">
        <v>70</v>
      </c>
      <c r="B1261" s="1" t="s">
        <v>97</v>
      </c>
      <c r="C1261" s="1" t="s">
        <v>78</v>
      </c>
      <c r="D1261" s="1">
        <v>2026</v>
      </c>
      <c r="E1261" s="1" t="s">
        <v>23</v>
      </c>
      <c r="F1261" s="1">
        <v>167027717</v>
      </c>
      <c r="G1261" s="1">
        <v>80334713</v>
      </c>
      <c r="H1261" s="1">
        <v>86693004</v>
      </c>
      <c r="I1261" s="1">
        <v>13488357</v>
      </c>
      <c r="J1261" s="1">
        <v>971245</v>
      </c>
      <c r="K1261" s="1">
        <v>8.08</v>
      </c>
      <c r="L1261" s="1">
        <v>19.89</v>
      </c>
      <c r="M1261" s="1">
        <v>29.61</v>
      </c>
      <c r="N1261" s="1">
        <v>6.63</v>
      </c>
      <c r="O1261" s="1">
        <v>26.12</v>
      </c>
      <c r="P1261" s="1">
        <v>18.05</v>
      </c>
      <c r="Q1261" s="1">
        <v>9211.0300000000007</v>
      </c>
      <c r="R1261" s="1">
        <v>73</v>
      </c>
      <c r="S1261" s="1">
        <v>60.9</v>
      </c>
    </row>
    <row r="1262" spans="1:19" ht="15">
      <c r="A1262" s="1">
        <v>71</v>
      </c>
      <c r="B1262" s="1" t="s">
        <v>98</v>
      </c>
      <c r="C1262" s="1" t="s">
        <v>78</v>
      </c>
      <c r="D1262" s="1">
        <v>2021</v>
      </c>
      <c r="E1262" s="1" t="s">
        <v>21</v>
      </c>
      <c r="F1262" s="1">
        <v>82608501</v>
      </c>
      <c r="G1262" s="1">
        <v>41514044</v>
      </c>
      <c r="H1262" s="1">
        <v>41094457</v>
      </c>
      <c r="I1262" s="1">
        <v>5907978</v>
      </c>
      <c r="J1262" s="1">
        <v>360506</v>
      </c>
      <c r="K1262" s="1">
        <v>7.15</v>
      </c>
      <c r="L1262" s="1">
        <v>27.34</v>
      </c>
      <c r="M1262" s="1">
        <v>11.72</v>
      </c>
      <c r="N1262" s="1">
        <v>13.87</v>
      </c>
      <c r="O1262" s="1">
        <v>28.93</v>
      </c>
      <c r="P1262" s="1">
        <v>34.03</v>
      </c>
      <c r="Q1262" s="1">
        <v>3973.27</v>
      </c>
      <c r="R1262" s="1">
        <v>62</v>
      </c>
      <c r="S1262" s="1">
        <v>78.599999999999994</v>
      </c>
    </row>
    <row r="1263" spans="1:19" ht="15">
      <c r="A1263" s="1">
        <v>71</v>
      </c>
      <c r="B1263" s="1" t="s">
        <v>98</v>
      </c>
      <c r="C1263" s="1" t="s">
        <v>78</v>
      </c>
      <c r="D1263" s="1">
        <v>2021</v>
      </c>
      <c r="E1263" s="1" t="s">
        <v>22</v>
      </c>
      <c r="F1263" s="1">
        <v>112745184</v>
      </c>
      <c r="G1263" s="1">
        <v>57156316</v>
      </c>
      <c r="H1263" s="1">
        <v>55588868</v>
      </c>
      <c r="I1263" s="1">
        <v>9241892</v>
      </c>
      <c r="J1263" s="1">
        <v>436435</v>
      </c>
      <c r="K1263" s="1">
        <v>8.1999999999999993</v>
      </c>
      <c r="L1263" s="1">
        <v>19.32</v>
      </c>
      <c r="M1263" s="1">
        <v>26.68</v>
      </c>
      <c r="N1263" s="1">
        <v>13.71</v>
      </c>
      <c r="O1263" s="1">
        <v>22.19</v>
      </c>
      <c r="P1263" s="1">
        <v>23.96</v>
      </c>
      <c r="Q1263" s="1">
        <v>2651.61</v>
      </c>
      <c r="R1263" s="1">
        <v>41</v>
      </c>
      <c r="S1263" s="1">
        <v>79.8</v>
      </c>
    </row>
    <row r="1264" spans="1:19" ht="15">
      <c r="A1264" s="1">
        <v>71</v>
      </c>
      <c r="B1264" s="1" t="s">
        <v>98</v>
      </c>
      <c r="C1264" s="1" t="s">
        <v>78</v>
      </c>
      <c r="D1264" s="1">
        <v>2021</v>
      </c>
      <c r="E1264" s="1" t="s">
        <v>23</v>
      </c>
      <c r="F1264" s="1">
        <v>184454242</v>
      </c>
      <c r="G1264" s="1">
        <v>89917480</v>
      </c>
      <c r="H1264" s="1">
        <v>94536762</v>
      </c>
      <c r="I1264" s="1">
        <v>15385041</v>
      </c>
      <c r="J1264" s="1">
        <v>590348</v>
      </c>
      <c r="K1264" s="1">
        <v>8.34</v>
      </c>
      <c r="L1264" s="1">
        <v>13.99</v>
      </c>
      <c r="M1264" s="1">
        <v>16.329999999999998</v>
      </c>
      <c r="N1264" s="1">
        <v>11.36</v>
      </c>
      <c r="O1264" s="1">
        <v>20.260000000000002</v>
      </c>
      <c r="P1264" s="1">
        <v>35.4</v>
      </c>
      <c r="Q1264" s="1">
        <v>4630.3100000000004</v>
      </c>
      <c r="R1264" s="1">
        <v>77</v>
      </c>
      <c r="S1264" s="1">
        <v>79.599999999999994</v>
      </c>
    </row>
    <row r="1265" spans="1:19" ht="15">
      <c r="A1265" s="1">
        <v>71</v>
      </c>
      <c r="B1265" s="1" t="s">
        <v>98</v>
      </c>
      <c r="C1265" s="1" t="s">
        <v>78</v>
      </c>
      <c r="D1265" s="1">
        <v>2022</v>
      </c>
      <c r="E1265" s="1" t="s">
        <v>21</v>
      </c>
      <c r="F1265" s="1">
        <v>20160337</v>
      </c>
      <c r="G1265" s="1">
        <v>10167595</v>
      </c>
      <c r="H1265" s="1">
        <v>9992742</v>
      </c>
      <c r="I1265" s="1">
        <v>1108192</v>
      </c>
      <c r="J1265" s="1">
        <v>40315</v>
      </c>
      <c r="K1265" s="1">
        <v>5.5</v>
      </c>
      <c r="L1265" s="1">
        <v>26.18</v>
      </c>
      <c r="M1265" s="1">
        <v>30.59</v>
      </c>
      <c r="N1265" s="1">
        <v>12.69</v>
      </c>
      <c r="O1265" s="1">
        <v>22</v>
      </c>
      <c r="P1265" s="1">
        <v>19.75</v>
      </c>
      <c r="Q1265" s="1">
        <v>1641.05</v>
      </c>
      <c r="R1265" s="1">
        <v>84</v>
      </c>
      <c r="S1265" s="1">
        <v>74.3</v>
      </c>
    </row>
    <row r="1266" spans="1:19" ht="15">
      <c r="A1266" s="1">
        <v>71</v>
      </c>
      <c r="B1266" s="1" t="s">
        <v>98</v>
      </c>
      <c r="C1266" s="1" t="s">
        <v>78</v>
      </c>
      <c r="D1266" s="1">
        <v>2022</v>
      </c>
      <c r="E1266" s="1" t="s">
        <v>22</v>
      </c>
      <c r="F1266" s="1">
        <v>60588707</v>
      </c>
      <c r="G1266" s="1">
        <v>29602844</v>
      </c>
      <c r="H1266" s="1">
        <v>30985863</v>
      </c>
      <c r="I1266" s="1">
        <v>3256452</v>
      </c>
      <c r="J1266" s="1">
        <v>223108</v>
      </c>
      <c r="K1266" s="1">
        <v>5.37</v>
      </c>
      <c r="L1266" s="1">
        <v>20.07</v>
      </c>
      <c r="M1266" s="1">
        <v>30.9</v>
      </c>
      <c r="N1266" s="1">
        <v>12.76</v>
      </c>
      <c r="O1266" s="1">
        <v>20.149999999999999</v>
      </c>
      <c r="P1266" s="1">
        <v>37.94</v>
      </c>
      <c r="Q1266" s="1">
        <v>7267.42</v>
      </c>
      <c r="R1266" s="1">
        <v>53</v>
      </c>
      <c r="S1266" s="1">
        <v>65.599999999999994</v>
      </c>
    </row>
    <row r="1267" spans="1:19" ht="15">
      <c r="A1267" s="1">
        <v>71</v>
      </c>
      <c r="B1267" s="1" t="s">
        <v>98</v>
      </c>
      <c r="C1267" s="1" t="s">
        <v>78</v>
      </c>
      <c r="D1267" s="1">
        <v>2022</v>
      </c>
      <c r="E1267" s="1" t="s">
        <v>23</v>
      </c>
      <c r="F1267" s="1">
        <v>165947240</v>
      </c>
      <c r="G1267" s="1">
        <v>80215564</v>
      </c>
      <c r="H1267" s="1">
        <v>85731676</v>
      </c>
      <c r="I1267" s="1">
        <v>15258887</v>
      </c>
      <c r="J1267" s="1">
        <v>511953</v>
      </c>
      <c r="K1267" s="1">
        <v>9.1999999999999993</v>
      </c>
      <c r="L1267" s="1">
        <v>16.11</v>
      </c>
      <c r="M1267" s="1">
        <v>19.41</v>
      </c>
      <c r="N1267" s="1">
        <v>7.64</v>
      </c>
      <c r="O1267" s="1">
        <v>37.39</v>
      </c>
      <c r="P1267" s="1">
        <v>30.54</v>
      </c>
      <c r="Q1267" s="1">
        <v>1916.17</v>
      </c>
      <c r="R1267" s="1">
        <v>74</v>
      </c>
      <c r="S1267" s="1">
        <v>76.099999999999994</v>
      </c>
    </row>
    <row r="1268" spans="1:19" ht="15">
      <c r="A1268" s="1">
        <v>71</v>
      </c>
      <c r="B1268" s="1" t="s">
        <v>98</v>
      </c>
      <c r="C1268" s="1" t="s">
        <v>78</v>
      </c>
      <c r="D1268" s="1">
        <v>2023</v>
      </c>
      <c r="E1268" s="1" t="s">
        <v>21</v>
      </c>
      <c r="F1268" s="1">
        <v>182550534</v>
      </c>
      <c r="G1268" s="1">
        <v>88217379</v>
      </c>
      <c r="H1268" s="1">
        <v>94333155</v>
      </c>
      <c r="I1268" s="1">
        <v>11727491</v>
      </c>
      <c r="J1268" s="1">
        <v>658562</v>
      </c>
      <c r="K1268" s="1">
        <v>6.42</v>
      </c>
      <c r="L1268" s="1">
        <v>25.12</v>
      </c>
      <c r="M1268" s="1">
        <v>16.43</v>
      </c>
      <c r="N1268" s="1">
        <v>13.87</v>
      </c>
      <c r="O1268" s="1">
        <v>27.31</v>
      </c>
      <c r="P1268" s="1">
        <v>37.6</v>
      </c>
      <c r="Q1268" s="1">
        <v>1365.47</v>
      </c>
      <c r="R1268" s="1">
        <v>51</v>
      </c>
      <c r="S1268" s="1">
        <v>65.900000000000006</v>
      </c>
    </row>
    <row r="1269" spans="1:19" ht="15">
      <c r="A1269" s="1">
        <v>71</v>
      </c>
      <c r="B1269" s="1" t="s">
        <v>98</v>
      </c>
      <c r="C1269" s="1" t="s">
        <v>78</v>
      </c>
      <c r="D1269" s="1">
        <v>2023</v>
      </c>
      <c r="E1269" s="1" t="s">
        <v>22</v>
      </c>
      <c r="F1269" s="1">
        <v>148161404</v>
      </c>
      <c r="G1269" s="1">
        <v>73516312</v>
      </c>
      <c r="H1269" s="1">
        <v>74645092</v>
      </c>
      <c r="I1269" s="1">
        <v>12081543</v>
      </c>
      <c r="J1269" s="1">
        <v>631125</v>
      </c>
      <c r="K1269" s="1">
        <v>8.15</v>
      </c>
      <c r="L1269" s="1">
        <v>20.68</v>
      </c>
      <c r="M1269" s="1">
        <v>27.81</v>
      </c>
      <c r="N1269" s="1">
        <v>6.99</v>
      </c>
      <c r="O1269" s="1">
        <v>39.659999999999997</v>
      </c>
      <c r="P1269" s="1">
        <v>35.1</v>
      </c>
      <c r="Q1269" s="1">
        <v>10911.19</v>
      </c>
      <c r="R1269" s="1">
        <v>42</v>
      </c>
      <c r="S1269" s="1">
        <v>72.400000000000006</v>
      </c>
    </row>
    <row r="1270" spans="1:19" ht="15">
      <c r="A1270" s="1">
        <v>71</v>
      </c>
      <c r="B1270" s="1" t="s">
        <v>98</v>
      </c>
      <c r="C1270" s="1" t="s">
        <v>78</v>
      </c>
      <c r="D1270" s="1">
        <v>2023</v>
      </c>
      <c r="E1270" s="1" t="s">
        <v>23</v>
      </c>
      <c r="F1270" s="1">
        <v>38346323</v>
      </c>
      <c r="G1270" s="1">
        <v>19255732</v>
      </c>
      <c r="H1270" s="1">
        <v>19090591</v>
      </c>
      <c r="I1270" s="1">
        <v>2743390</v>
      </c>
      <c r="J1270" s="1">
        <v>157280</v>
      </c>
      <c r="K1270" s="1">
        <v>7.15</v>
      </c>
      <c r="L1270" s="1">
        <v>24.34</v>
      </c>
      <c r="M1270" s="1">
        <v>27.9</v>
      </c>
      <c r="N1270" s="1">
        <v>7.87</v>
      </c>
      <c r="O1270" s="1">
        <v>20.73</v>
      </c>
      <c r="P1270" s="1">
        <v>20.65</v>
      </c>
      <c r="Q1270" s="1">
        <v>621.21</v>
      </c>
      <c r="R1270" s="1">
        <v>46</v>
      </c>
      <c r="S1270" s="1">
        <v>61.9</v>
      </c>
    </row>
    <row r="1271" spans="1:19" ht="15">
      <c r="A1271" s="1">
        <v>71</v>
      </c>
      <c r="B1271" s="1" t="s">
        <v>98</v>
      </c>
      <c r="C1271" s="1" t="s">
        <v>78</v>
      </c>
      <c r="D1271" s="1">
        <v>2024</v>
      </c>
      <c r="E1271" s="1" t="s">
        <v>21</v>
      </c>
      <c r="F1271" s="1">
        <v>34487450</v>
      </c>
      <c r="G1271" s="1">
        <v>17668044</v>
      </c>
      <c r="H1271" s="1">
        <v>16819406</v>
      </c>
      <c r="I1271" s="1">
        <v>2904873</v>
      </c>
      <c r="J1271" s="1">
        <v>101393</v>
      </c>
      <c r="K1271" s="1">
        <v>8.42</v>
      </c>
      <c r="L1271" s="1">
        <v>15</v>
      </c>
      <c r="M1271" s="1">
        <v>12.65</v>
      </c>
      <c r="N1271" s="1">
        <v>10.19</v>
      </c>
      <c r="O1271" s="1">
        <v>36.369999999999997</v>
      </c>
      <c r="P1271" s="1">
        <v>17.13</v>
      </c>
      <c r="Q1271" s="1">
        <v>2888.26</v>
      </c>
      <c r="R1271" s="1">
        <v>63</v>
      </c>
      <c r="S1271" s="1">
        <v>61.5</v>
      </c>
    </row>
    <row r="1272" spans="1:19" ht="15">
      <c r="A1272" s="1">
        <v>71</v>
      </c>
      <c r="B1272" s="1" t="s">
        <v>98</v>
      </c>
      <c r="C1272" s="1" t="s">
        <v>78</v>
      </c>
      <c r="D1272" s="1">
        <v>2024</v>
      </c>
      <c r="E1272" s="1" t="s">
        <v>22</v>
      </c>
      <c r="F1272" s="1">
        <v>169671066</v>
      </c>
      <c r="G1272" s="1">
        <v>87323737</v>
      </c>
      <c r="H1272" s="1">
        <v>82347329</v>
      </c>
      <c r="I1272" s="1">
        <v>13934617</v>
      </c>
      <c r="J1272" s="1">
        <v>644793</v>
      </c>
      <c r="K1272" s="1">
        <v>8.2100000000000009</v>
      </c>
      <c r="L1272" s="1">
        <v>13.13</v>
      </c>
      <c r="M1272" s="1">
        <v>24.94</v>
      </c>
      <c r="N1272" s="1">
        <v>8.01</v>
      </c>
      <c r="O1272" s="1">
        <v>27.52</v>
      </c>
      <c r="P1272" s="1">
        <v>33.78</v>
      </c>
      <c r="Q1272" s="1">
        <v>4947.3</v>
      </c>
      <c r="R1272" s="1">
        <v>77</v>
      </c>
      <c r="S1272" s="1">
        <v>82.8</v>
      </c>
    </row>
    <row r="1273" spans="1:19" ht="15">
      <c r="A1273" s="1">
        <v>71</v>
      </c>
      <c r="B1273" s="1" t="s">
        <v>98</v>
      </c>
      <c r="C1273" s="1" t="s">
        <v>78</v>
      </c>
      <c r="D1273" s="1">
        <v>2024</v>
      </c>
      <c r="E1273" s="1" t="s">
        <v>23</v>
      </c>
      <c r="F1273" s="1">
        <v>199676939</v>
      </c>
      <c r="G1273" s="1">
        <v>103607579</v>
      </c>
      <c r="H1273" s="1">
        <v>96069360</v>
      </c>
      <c r="I1273" s="1">
        <v>10012488</v>
      </c>
      <c r="J1273" s="1">
        <v>528976</v>
      </c>
      <c r="K1273" s="1">
        <v>5.01</v>
      </c>
      <c r="L1273" s="1">
        <v>23.04</v>
      </c>
      <c r="M1273" s="1">
        <v>21.32</v>
      </c>
      <c r="N1273" s="1">
        <v>6.14</v>
      </c>
      <c r="O1273" s="1">
        <v>35.229999999999997</v>
      </c>
      <c r="P1273" s="1">
        <v>19.05</v>
      </c>
      <c r="Q1273" s="1">
        <v>4110.1499999999996</v>
      </c>
      <c r="R1273" s="1">
        <v>73</v>
      </c>
      <c r="S1273" s="1">
        <v>67.3</v>
      </c>
    </row>
    <row r="1274" spans="1:19" ht="15">
      <c r="A1274" s="1">
        <v>71</v>
      </c>
      <c r="B1274" s="1" t="s">
        <v>98</v>
      </c>
      <c r="C1274" s="1" t="s">
        <v>78</v>
      </c>
      <c r="D1274" s="1">
        <v>2025</v>
      </c>
      <c r="E1274" s="1" t="s">
        <v>21</v>
      </c>
      <c r="F1274" s="1">
        <v>67393370</v>
      </c>
      <c r="G1274" s="1">
        <v>34857841</v>
      </c>
      <c r="H1274" s="1">
        <v>32535529</v>
      </c>
      <c r="I1274" s="1">
        <v>5082349</v>
      </c>
      <c r="J1274" s="1">
        <v>298776</v>
      </c>
      <c r="K1274" s="1">
        <v>7.54</v>
      </c>
      <c r="L1274" s="1">
        <v>10.9</v>
      </c>
      <c r="M1274" s="1">
        <v>32.51</v>
      </c>
      <c r="N1274" s="1">
        <v>14.88</v>
      </c>
      <c r="O1274" s="1">
        <v>28.92</v>
      </c>
      <c r="P1274" s="1">
        <v>27.45</v>
      </c>
      <c r="Q1274" s="1">
        <v>3892.48</v>
      </c>
      <c r="R1274" s="1">
        <v>55</v>
      </c>
      <c r="S1274" s="1">
        <v>62.4</v>
      </c>
    </row>
    <row r="1275" spans="1:19" ht="15">
      <c r="A1275" s="1">
        <v>71</v>
      </c>
      <c r="B1275" s="1" t="s">
        <v>98</v>
      </c>
      <c r="C1275" s="1" t="s">
        <v>78</v>
      </c>
      <c r="D1275" s="1">
        <v>2025</v>
      </c>
      <c r="E1275" s="1" t="s">
        <v>22</v>
      </c>
      <c r="F1275" s="1">
        <v>137253018</v>
      </c>
      <c r="G1275" s="1">
        <v>68702079</v>
      </c>
      <c r="H1275" s="1">
        <v>68550939</v>
      </c>
      <c r="I1275" s="1">
        <v>11480247</v>
      </c>
      <c r="J1275" s="1">
        <v>687455</v>
      </c>
      <c r="K1275" s="1">
        <v>8.36</v>
      </c>
      <c r="L1275" s="1">
        <v>11.25</v>
      </c>
      <c r="M1275" s="1">
        <v>29.53</v>
      </c>
      <c r="N1275" s="1">
        <v>8.58</v>
      </c>
      <c r="O1275" s="1">
        <v>26.19</v>
      </c>
      <c r="P1275" s="1">
        <v>21.09</v>
      </c>
      <c r="Q1275" s="1">
        <v>10540.11</v>
      </c>
      <c r="R1275" s="1">
        <v>48</v>
      </c>
      <c r="S1275" s="1">
        <v>65.3</v>
      </c>
    </row>
    <row r="1276" spans="1:19" ht="15">
      <c r="A1276" s="1">
        <v>71</v>
      </c>
      <c r="B1276" s="1" t="s">
        <v>98</v>
      </c>
      <c r="C1276" s="1" t="s">
        <v>78</v>
      </c>
      <c r="D1276" s="1">
        <v>2025</v>
      </c>
      <c r="E1276" s="1" t="s">
        <v>23</v>
      </c>
      <c r="F1276" s="1">
        <v>43917641</v>
      </c>
      <c r="G1276" s="1">
        <v>22567176</v>
      </c>
      <c r="H1276" s="1">
        <v>21350465</v>
      </c>
      <c r="I1276" s="1">
        <v>2906547</v>
      </c>
      <c r="J1276" s="1">
        <v>200258</v>
      </c>
      <c r="K1276" s="1">
        <v>6.62</v>
      </c>
      <c r="L1276" s="1">
        <v>20.54</v>
      </c>
      <c r="M1276" s="1">
        <v>27.58</v>
      </c>
      <c r="N1276" s="1">
        <v>9.7200000000000006</v>
      </c>
      <c r="O1276" s="1">
        <v>28.27</v>
      </c>
      <c r="P1276" s="1">
        <v>26.07</v>
      </c>
      <c r="Q1276" s="1">
        <v>2414.19</v>
      </c>
      <c r="R1276" s="1">
        <v>58</v>
      </c>
      <c r="S1276" s="1">
        <v>72.599999999999994</v>
      </c>
    </row>
    <row r="1277" spans="1:19" ht="15">
      <c r="A1277" s="1">
        <v>71</v>
      </c>
      <c r="B1277" s="1" t="s">
        <v>98</v>
      </c>
      <c r="C1277" s="1" t="s">
        <v>78</v>
      </c>
      <c r="D1277" s="1">
        <v>2026</v>
      </c>
      <c r="E1277" s="1" t="s">
        <v>21</v>
      </c>
      <c r="F1277" s="1">
        <v>4840779</v>
      </c>
      <c r="G1277" s="1">
        <v>2463846</v>
      </c>
      <c r="H1277" s="1">
        <v>2376933</v>
      </c>
      <c r="I1277" s="1">
        <v>481069</v>
      </c>
      <c r="J1277" s="1">
        <v>30442</v>
      </c>
      <c r="K1277" s="1">
        <v>9.94</v>
      </c>
      <c r="L1277" s="1">
        <v>19.38</v>
      </c>
      <c r="M1277" s="1">
        <v>14.24</v>
      </c>
      <c r="N1277" s="1">
        <v>9.31</v>
      </c>
      <c r="O1277" s="1">
        <v>39.909999999999997</v>
      </c>
      <c r="P1277" s="1">
        <v>37.39</v>
      </c>
      <c r="Q1277" s="1">
        <v>6605.95</v>
      </c>
      <c r="R1277" s="1">
        <v>54</v>
      </c>
      <c r="S1277" s="1">
        <v>82.3</v>
      </c>
    </row>
    <row r="1278" spans="1:19" ht="15">
      <c r="A1278" s="1">
        <v>71</v>
      </c>
      <c r="B1278" s="1" t="s">
        <v>98</v>
      </c>
      <c r="C1278" s="1" t="s">
        <v>78</v>
      </c>
      <c r="D1278" s="1">
        <v>2026</v>
      </c>
      <c r="E1278" s="1" t="s">
        <v>22</v>
      </c>
      <c r="F1278" s="1">
        <v>4898767</v>
      </c>
      <c r="G1278" s="1">
        <v>2511527</v>
      </c>
      <c r="H1278" s="1">
        <v>2387240</v>
      </c>
      <c r="I1278" s="1">
        <v>462289</v>
      </c>
      <c r="J1278" s="1">
        <v>32215</v>
      </c>
      <c r="K1278" s="1">
        <v>9.44</v>
      </c>
      <c r="L1278" s="1">
        <v>18.86</v>
      </c>
      <c r="M1278" s="1">
        <v>18.579999999999998</v>
      </c>
      <c r="N1278" s="1">
        <v>11.67</v>
      </c>
      <c r="O1278" s="1">
        <v>20.43</v>
      </c>
      <c r="P1278" s="1">
        <v>22.15</v>
      </c>
      <c r="Q1278" s="1">
        <v>2830.2</v>
      </c>
      <c r="R1278" s="1">
        <v>84</v>
      </c>
      <c r="S1278" s="1">
        <v>74.3</v>
      </c>
    </row>
    <row r="1279" spans="1:19" ht="15">
      <c r="A1279" s="1">
        <v>71</v>
      </c>
      <c r="B1279" s="1" t="s">
        <v>98</v>
      </c>
      <c r="C1279" s="1" t="s">
        <v>78</v>
      </c>
      <c r="D1279" s="1">
        <v>2026</v>
      </c>
      <c r="E1279" s="1" t="s">
        <v>23</v>
      </c>
      <c r="F1279" s="1">
        <v>150556902</v>
      </c>
      <c r="G1279" s="1">
        <v>73036237</v>
      </c>
      <c r="H1279" s="1">
        <v>77520665</v>
      </c>
      <c r="I1279" s="1">
        <v>13722091</v>
      </c>
      <c r="J1279" s="1">
        <v>879896</v>
      </c>
      <c r="K1279" s="1">
        <v>9.11</v>
      </c>
      <c r="L1279" s="1">
        <v>17.63</v>
      </c>
      <c r="M1279" s="1">
        <v>15.42</v>
      </c>
      <c r="N1279" s="1">
        <v>6.82</v>
      </c>
      <c r="O1279" s="1">
        <v>20.39</v>
      </c>
      <c r="P1279" s="1">
        <v>27.9</v>
      </c>
      <c r="Q1279" s="1">
        <v>10731.55</v>
      </c>
      <c r="R1279" s="1">
        <v>82</v>
      </c>
      <c r="S1279" s="1">
        <v>60.8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5"/>
  <sheetViews>
    <sheetView workbookViewId="0">
      <selection activeCell="J11" sqref="J11"/>
    </sheetView>
  </sheetViews>
  <sheetFormatPr defaultRowHeight="14.25"/>
  <cols>
    <col min="1" max="1" width="14" customWidth="1"/>
    <col min="2" max="2" width="17.25" customWidth="1"/>
  </cols>
  <sheetData>
    <row r="3" spans="1:2">
      <c r="A3" s="5" t="s">
        <v>105</v>
      </c>
      <c r="B3" t="s">
        <v>107</v>
      </c>
    </row>
    <row r="4" spans="1:2">
      <c r="A4" s="6" t="s">
        <v>87</v>
      </c>
      <c r="B4" s="7">
        <v>201226927</v>
      </c>
    </row>
    <row r="5" spans="1:2">
      <c r="A5" s="6" t="s">
        <v>88</v>
      </c>
      <c r="B5" s="7">
        <v>355207811</v>
      </c>
    </row>
    <row r="6" spans="1:2">
      <c r="A6" s="6" t="s">
        <v>28</v>
      </c>
      <c r="B6" s="7">
        <v>302709017</v>
      </c>
    </row>
    <row r="7" spans="1:2">
      <c r="A7" s="6" t="s">
        <v>74</v>
      </c>
      <c r="B7" s="7">
        <v>273170517</v>
      </c>
    </row>
    <row r="8" spans="1:2">
      <c r="A8" s="6" t="s">
        <v>42</v>
      </c>
      <c r="B8" s="7">
        <v>435139930</v>
      </c>
    </row>
    <row r="9" spans="1:2">
      <c r="A9" s="6" t="s">
        <v>66</v>
      </c>
      <c r="B9" s="7">
        <v>419625096</v>
      </c>
    </row>
    <row r="10" spans="1:2">
      <c r="A10" s="6" t="s">
        <v>41</v>
      </c>
      <c r="B10" s="7">
        <v>333570067</v>
      </c>
    </row>
    <row r="11" spans="1:2">
      <c r="A11" s="6" t="s">
        <v>96</v>
      </c>
      <c r="B11" s="7">
        <v>313783459</v>
      </c>
    </row>
    <row r="12" spans="1:2">
      <c r="A12" s="6" t="s">
        <v>26</v>
      </c>
      <c r="B12" s="7">
        <v>258944524</v>
      </c>
    </row>
    <row r="13" spans="1:2">
      <c r="A13" s="6" t="s">
        <v>52</v>
      </c>
      <c r="B13" s="7">
        <v>256475876</v>
      </c>
    </row>
    <row r="14" spans="1:2">
      <c r="A14" s="6" t="s">
        <v>95</v>
      </c>
      <c r="B14" s="7">
        <v>397935382</v>
      </c>
    </row>
    <row r="15" spans="1:2">
      <c r="A15" s="6" t="s">
        <v>24</v>
      </c>
      <c r="B15" s="7">
        <v>432460070</v>
      </c>
    </row>
    <row r="16" spans="1:2">
      <c r="A16" s="6" t="s">
        <v>29</v>
      </c>
      <c r="B16" s="7">
        <v>525629365</v>
      </c>
    </row>
    <row r="17" spans="1:2">
      <c r="A17" s="6" t="s">
        <v>57</v>
      </c>
      <c r="B17" s="7">
        <v>279879083</v>
      </c>
    </row>
    <row r="18" spans="1:2">
      <c r="A18" s="6" t="s">
        <v>31</v>
      </c>
      <c r="B18" s="7">
        <v>363998341</v>
      </c>
    </row>
    <row r="19" spans="1:2">
      <c r="A19" s="6" t="s">
        <v>49</v>
      </c>
      <c r="B19" s="7">
        <v>215268629</v>
      </c>
    </row>
    <row r="20" spans="1:2">
      <c r="A20" s="6" t="s">
        <v>44</v>
      </c>
      <c r="B20" s="7">
        <v>334983307</v>
      </c>
    </row>
    <row r="21" spans="1:2">
      <c r="A21" s="6" t="s">
        <v>80</v>
      </c>
      <c r="B21" s="7">
        <v>378452121</v>
      </c>
    </row>
    <row r="22" spans="1:2">
      <c r="A22" s="6" t="s">
        <v>82</v>
      </c>
      <c r="B22" s="7">
        <v>442949255</v>
      </c>
    </row>
    <row r="23" spans="1:2">
      <c r="A23" s="6" t="s">
        <v>45</v>
      </c>
      <c r="B23" s="7">
        <v>415691408</v>
      </c>
    </row>
    <row r="24" spans="1:2">
      <c r="A24" s="6" t="s">
        <v>35</v>
      </c>
      <c r="B24" s="7">
        <v>247967993</v>
      </c>
    </row>
    <row r="25" spans="1:2">
      <c r="A25" s="6" t="s">
        <v>34</v>
      </c>
      <c r="B25" s="7">
        <v>157955383</v>
      </c>
    </row>
    <row r="26" spans="1:2">
      <c r="A26" s="6" t="s">
        <v>85</v>
      </c>
      <c r="B26" s="7">
        <v>261426535</v>
      </c>
    </row>
    <row r="27" spans="1:2">
      <c r="A27" s="6" t="s">
        <v>48</v>
      </c>
      <c r="B27" s="7">
        <v>459277723</v>
      </c>
    </row>
    <row r="28" spans="1:2">
      <c r="A28" s="6" t="s">
        <v>50</v>
      </c>
      <c r="B28" s="7">
        <v>272542057</v>
      </c>
    </row>
    <row r="29" spans="1:2">
      <c r="A29" s="6" t="s">
        <v>55</v>
      </c>
      <c r="B29" s="7">
        <v>326369701</v>
      </c>
    </row>
    <row r="30" spans="1:2">
      <c r="A30" s="6" t="s">
        <v>60</v>
      </c>
      <c r="B30" s="7">
        <v>505297611</v>
      </c>
    </row>
    <row r="31" spans="1:2">
      <c r="A31" s="6" t="s">
        <v>70</v>
      </c>
      <c r="B31" s="7">
        <v>330641994</v>
      </c>
    </row>
    <row r="32" spans="1:2">
      <c r="A32" s="6" t="s">
        <v>36</v>
      </c>
      <c r="B32" s="7">
        <v>253472098</v>
      </c>
    </row>
    <row r="33" spans="1:2">
      <c r="A33" s="6" t="s">
        <v>94</v>
      </c>
      <c r="B33" s="7">
        <v>235747842</v>
      </c>
    </row>
    <row r="34" spans="1:2">
      <c r="A34" s="6" t="s">
        <v>58</v>
      </c>
      <c r="B34" s="7">
        <v>374631626</v>
      </c>
    </row>
    <row r="35" spans="1:2">
      <c r="A35" s="6" t="s">
        <v>81</v>
      </c>
      <c r="B35" s="7">
        <v>377509409</v>
      </c>
    </row>
    <row r="36" spans="1:2">
      <c r="A36" s="6" t="s">
        <v>62</v>
      </c>
      <c r="B36" s="7">
        <v>259253608</v>
      </c>
    </row>
    <row r="37" spans="1:2">
      <c r="A37" s="6" t="s">
        <v>25</v>
      </c>
      <c r="B37" s="7">
        <v>404483131</v>
      </c>
    </row>
    <row r="38" spans="1:2">
      <c r="A38" s="6" t="s">
        <v>83</v>
      </c>
      <c r="B38" s="7">
        <v>191091026</v>
      </c>
    </row>
    <row r="39" spans="1:2">
      <c r="A39" s="6" t="s">
        <v>97</v>
      </c>
      <c r="B39" s="7">
        <v>355172651</v>
      </c>
    </row>
    <row r="40" spans="1:2">
      <c r="A40" s="6" t="s">
        <v>38</v>
      </c>
      <c r="B40" s="7">
        <v>409776057</v>
      </c>
    </row>
    <row r="41" spans="1:2">
      <c r="A41" s="6" t="s">
        <v>76</v>
      </c>
      <c r="B41" s="7">
        <v>415932585</v>
      </c>
    </row>
    <row r="42" spans="1:2">
      <c r="A42" s="6" t="s">
        <v>79</v>
      </c>
      <c r="B42" s="7">
        <v>264654928</v>
      </c>
    </row>
    <row r="43" spans="1:2">
      <c r="A43" s="6" t="s">
        <v>40</v>
      </c>
      <c r="B43" s="7">
        <v>339441045</v>
      </c>
    </row>
    <row r="44" spans="1:2">
      <c r="A44" s="6" t="s">
        <v>67</v>
      </c>
      <c r="B44" s="7">
        <v>197481500</v>
      </c>
    </row>
    <row r="45" spans="1:2">
      <c r="A45" s="6" t="s">
        <v>30</v>
      </c>
      <c r="B45" s="7">
        <v>335077150</v>
      </c>
    </row>
    <row r="46" spans="1:2">
      <c r="A46" s="6" t="s">
        <v>65</v>
      </c>
      <c r="B46" s="7">
        <v>325176369</v>
      </c>
    </row>
    <row r="47" spans="1:2">
      <c r="A47" s="6" t="s">
        <v>46</v>
      </c>
      <c r="B47" s="7">
        <v>136404477</v>
      </c>
    </row>
    <row r="48" spans="1:2">
      <c r="A48" s="6" t="s">
        <v>47</v>
      </c>
      <c r="B48" s="7">
        <v>360573339</v>
      </c>
    </row>
    <row r="49" spans="1:2">
      <c r="A49" s="6" t="s">
        <v>73</v>
      </c>
      <c r="B49" s="7">
        <v>321454874</v>
      </c>
    </row>
    <row r="50" spans="1:2">
      <c r="A50" s="6" t="s">
        <v>51</v>
      </c>
      <c r="B50" s="7">
        <v>434793610</v>
      </c>
    </row>
    <row r="51" spans="1:2">
      <c r="A51" s="6" t="s">
        <v>53</v>
      </c>
      <c r="B51" s="7">
        <v>259553646</v>
      </c>
    </row>
    <row r="52" spans="1:2">
      <c r="A52" s="6" t="s">
        <v>98</v>
      </c>
      <c r="B52" s="7">
        <v>403835455</v>
      </c>
    </row>
    <row r="53" spans="1:2">
      <c r="A53" s="6" t="s">
        <v>72</v>
      </c>
      <c r="B53" s="7">
        <v>259008089</v>
      </c>
    </row>
    <row r="54" spans="1:2">
      <c r="A54" s="6" t="s">
        <v>93</v>
      </c>
      <c r="B54" s="7">
        <v>364161823</v>
      </c>
    </row>
    <row r="55" spans="1:2">
      <c r="A55" s="6" t="s">
        <v>64</v>
      </c>
      <c r="B55" s="7">
        <v>255241567</v>
      </c>
    </row>
    <row r="56" spans="1:2">
      <c r="A56" s="6" t="s">
        <v>77</v>
      </c>
      <c r="B56" s="7">
        <v>209140859</v>
      </c>
    </row>
    <row r="57" spans="1:2">
      <c r="A57" s="6" t="s">
        <v>59</v>
      </c>
      <c r="B57" s="7">
        <v>369499204</v>
      </c>
    </row>
    <row r="58" spans="1:2">
      <c r="A58" s="6" t="s">
        <v>37</v>
      </c>
      <c r="B58" s="7">
        <v>165425123</v>
      </c>
    </row>
    <row r="59" spans="1:2">
      <c r="A59" s="6" t="s">
        <v>68</v>
      </c>
      <c r="B59" s="7">
        <v>315748921</v>
      </c>
    </row>
    <row r="60" spans="1:2">
      <c r="A60" s="6" t="s">
        <v>89</v>
      </c>
      <c r="B60" s="7">
        <v>219067365</v>
      </c>
    </row>
    <row r="61" spans="1:2">
      <c r="A61" s="6" t="s">
        <v>39</v>
      </c>
      <c r="B61" s="7">
        <v>393159200</v>
      </c>
    </row>
    <row r="62" spans="1:2">
      <c r="A62" s="6" t="s">
        <v>43</v>
      </c>
      <c r="B62" s="7">
        <v>361320978</v>
      </c>
    </row>
    <row r="63" spans="1:2">
      <c r="A63" s="6" t="s">
        <v>86</v>
      </c>
      <c r="B63" s="7">
        <v>240012784</v>
      </c>
    </row>
    <row r="64" spans="1:2">
      <c r="A64" s="6" t="s">
        <v>61</v>
      </c>
      <c r="B64" s="7">
        <v>393340437</v>
      </c>
    </row>
    <row r="65" spans="1:2">
      <c r="A65" s="6" t="s">
        <v>84</v>
      </c>
      <c r="B65" s="7">
        <v>194756088</v>
      </c>
    </row>
    <row r="66" spans="1:2">
      <c r="A66" s="6" t="s">
        <v>69</v>
      </c>
      <c r="B66" s="7">
        <v>110703039</v>
      </c>
    </row>
    <row r="67" spans="1:2">
      <c r="A67" s="6" t="s">
        <v>71</v>
      </c>
      <c r="B67" s="7">
        <v>239681575</v>
      </c>
    </row>
    <row r="68" spans="1:2">
      <c r="A68" s="6" t="s">
        <v>90</v>
      </c>
      <c r="B68" s="7">
        <v>458512499</v>
      </c>
    </row>
    <row r="69" spans="1:2">
      <c r="A69" s="6" t="s">
        <v>32</v>
      </c>
      <c r="B69" s="7">
        <v>296699949</v>
      </c>
    </row>
    <row r="70" spans="1:2">
      <c r="A70" s="6" t="s">
        <v>54</v>
      </c>
      <c r="B70" s="7">
        <v>209135441</v>
      </c>
    </row>
    <row r="71" spans="1:2">
      <c r="A71" s="6" t="s">
        <v>19</v>
      </c>
      <c r="B71" s="7">
        <v>127650610</v>
      </c>
    </row>
    <row r="72" spans="1:2">
      <c r="A72" s="6" t="s">
        <v>63</v>
      </c>
      <c r="B72" s="7">
        <v>418372933</v>
      </c>
    </row>
    <row r="73" spans="1:2">
      <c r="A73" s="6" t="s">
        <v>91</v>
      </c>
      <c r="B73" s="7">
        <v>265135882</v>
      </c>
    </row>
    <row r="74" spans="1:2">
      <c r="A74" s="6" t="s">
        <v>92</v>
      </c>
      <c r="B74" s="7">
        <v>261280093</v>
      </c>
    </row>
    <row r="75" spans="1:2">
      <c r="A75" s="6" t="s">
        <v>106</v>
      </c>
      <c r="B75" s="7">
        <v>22281150067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10"/>
  <sheetViews>
    <sheetView workbookViewId="0"/>
  </sheetViews>
  <sheetFormatPr defaultRowHeight="14.25"/>
  <cols>
    <col min="1" max="1" width="13.125" customWidth="1"/>
    <col min="2" max="2" width="22.625" customWidth="1"/>
    <col min="3" max="3" width="10.625" customWidth="1"/>
    <col min="4" max="4" width="13.125" customWidth="1"/>
    <col min="5" max="5" width="24.75" customWidth="1"/>
  </cols>
  <sheetData>
    <row r="3" spans="1:5">
      <c r="A3" s="5" t="s">
        <v>105</v>
      </c>
      <c r="B3" t="s">
        <v>108</v>
      </c>
      <c r="D3" s="5" t="s">
        <v>105</v>
      </c>
      <c r="E3" t="s">
        <v>109</v>
      </c>
    </row>
    <row r="4" spans="1:5">
      <c r="A4" s="6" t="s">
        <v>78</v>
      </c>
      <c r="B4" s="7">
        <v>3212384326</v>
      </c>
      <c r="D4" s="6" t="s">
        <v>78</v>
      </c>
      <c r="E4" s="7">
        <v>3178675868</v>
      </c>
    </row>
    <row r="5" spans="1:5">
      <c r="A5" s="6" t="s">
        <v>56</v>
      </c>
      <c r="B5" s="7">
        <v>2854571363</v>
      </c>
      <c r="D5" s="6" t="s">
        <v>56</v>
      </c>
      <c r="E5" s="7">
        <v>2846835864</v>
      </c>
    </row>
    <row r="6" spans="1:5">
      <c r="A6" s="6" t="s">
        <v>33</v>
      </c>
      <c r="B6" s="7">
        <v>3379723479</v>
      </c>
      <c r="D6" s="6" t="s">
        <v>33</v>
      </c>
      <c r="E6" s="7">
        <v>3368903857</v>
      </c>
    </row>
    <row r="7" spans="1:5">
      <c r="A7" s="6" t="s">
        <v>20</v>
      </c>
      <c r="B7" s="7">
        <v>472386358</v>
      </c>
      <c r="D7" s="6" t="s">
        <v>20</v>
      </c>
      <c r="E7" s="7">
        <v>492207453</v>
      </c>
    </row>
    <row r="8" spans="1:5">
      <c r="A8" s="6" t="s">
        <v>75</v>
      </c>
      <c r="B8" s="7">
        <v>349704158</v>
      </c>
      <c r="D8" s="6" t="s">
        <v>75</v>
      </c>
      <c r="E8" s="7">
        <v>339398944</v>
      </c>
    </row>
    <row r="9" spans="1:5">
      <c r="A9" s="6" t="s">
        <v>27</v>
      </c>
      <c r="B9" s="7">
        <v>891536684</v>
      </c>
      <c r="D9" s="6" t="s">
        <v>27</v>
      </c>
      <c r="E9" s="7">
        <v>894821713</v>
      </c>
    </row>
    <row r="10" spans="1:5">
      <c r="A10" s="6" t="s">
        <v>106</v>
      </c>
      <c r="B10" s="7">
        <v>11160306368</v>
      </c>
      <c r="D10" s="6" t="s">
        <v>106</v>
      </c>
      <c r="E10" s="7">
        <v>11120843699</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heetViews>
  <sheetFormatPr defaultRowHeight="14.25"/>
  <cols>
    <col min="1" max="1" width="13.125" customWidth="1"/>
    <col min="2" max="2" width="17.25" customWidth="1"/>
  </cols>
  <sheetData>
    <row r="3" spans="1:2">
      <c r="A3" s="5" t="s">
        <v>105</v>
      </c>
      <c r="B3" t="s">
        <v>107</v>
      </c>
    </row>
    <row r="4" spans="1:2">
      <c r="A4" s="6" t="s">
        <v>21</v>
      </c>
      <c r="B4" s="7">
        <v>7473277977</v>
      </c>
    </row>
    <row r="5" spans="1:2">
      <c r="A5" s="6" t="s">
        <v>22</v>
      </c>
      <c r="B5" s="7">
        <v>6594037185</v>
      </c>
    </row>
    <row r="6" spans="1:2">
      <c r="A6" s="6" t="s">
        <v>23</v>
      </c>
      <c r="B6" s="7">
        <v>8213834905</v>
      </c>
    </row>
    <row r="7" spans="1:2">
      <c r="A7" s="6" t="s">
        <v>106</v>
      </c>
      <c r="B7" s="7">
        <v>22281150067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E18" sqref="E18"/>
    </sheetView>
  </sheetViews>
  <sheetFormatPr defaultRowHeight="14.25"/>
  <cols>
    <col min="1" max="1" width="13.125" customWidth="1"/>
    <col min="2" max="2" width="17.5" customWidth="1"/>
  </cols>
  <sheetData>
    <row r="3" spans="1:2">
      <c r="A3" s="5" t="s">
        <v>105</v>
      </c>
      <c r="B3" t="s">
        <v>110</v>
      </c>
    </row>
    <row r="4" spans="1:2">
      <c r="A4" s="6" t="s">
        <v>21</v>
      </c>
      <c r="B4" s="7">
        <v>43</v>
      </c>
    </row>
    <row r="5" spans="1:2">
      <c r="A5" s="6" t="s">
        <v>22</v>
      </c>
      <c r="B5" s="7">
        <v>40</v>
      </c>
    </row>
    <row r="6" spans="1:2">
      <c r="A6" s="6" t="s">
        <v>23</v>
      </c>
      <c r="B6" s="7">
        <v>58</v>
      </c>
    </row>
    <row r="7" spans="1:2">
      <c r="A7" s="6" t="s">
        <v>106</v>
      </c>
      <c r="B7" s="7">
        <v>141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5"/>
  <sheetViews>
    <sheetView workbookViewId="0">
      <selection activeCell="K14" sqref="K14"/>
    </sheetView>
  </sheetViews>
  <sheetFormatPr defaultRowHeight="14.25"/>
  <cols>
    <col min="1" max="1" width="14" customWidth="1"/>
    <col min="2" max="2" width="19.875" customWidth="1"/>
  </cols>
  <sheetData>
    <row r="3" spans="1:2">
      <c r="A3" s="5" t="s">
        <v>105</v>
      </c>
      <c r="B3" t="s">
        <v>111</v>
      </c>
    </row>
    <row r="4" spans="1:2">
      <c r="A4" s="6" t="s">
        <v>87</v>
      </c>
      <c r="B4" s="7">
        <v>54.870000000000005</v>
      </c>
    </row>
    <row r="5" spans="1:2">
      <c r="A5" s="6" t="s">
        <v>88</v>
      </c>
      <c r="B5" s="7">
        <v>55.75</v>
      </c>
    </row>
    <row r="6" spans="1:2">
      <c r="A6" s="6" t="s">
        <v>28</v>
      </c>
      <c r="B6" s="7">
        <v>62.519999999999996</v>
      </c>
    </row>
    <row r="7" spans="1:2">
      <c r="A7" s="6" t="s">
        <v>74</v>
      </c>
      <c r="B7" s="7">
        <v>54.77</v>
      </c>
    </row>
    <row r="8" spans="1:2">
      <c r="A8" s="6" t="s">
        <v>42</v>
      </c>
      <c r="B8" s="7">
        <v>71.680000000000007</v>
      </c>
    </row>
    <row r="9" spans="1:2">
      <c r="A9" s="6" t="s">
        <v>66</v>
      </c>
      <c r="B9" s="7">
        <v>48.85</v>
      </c>
    </row>
    <row r="10" spans="1:2">
      <c r="A10" s="6" t="s">
        <v>41</v>
      </c>
      <c r="B10" s="7">
        <v>77.23</v>
      </c>
    </row>
    <row r="11" spans="1:2">
      <c r="A11" s="6" t="s">
        <v>96</v>
      </c>
      <c r="B11" s="7">
        <v>57.910000000000004</v>
      </c>
    </row>
    <row r="12" spans="1:2">
      <c r="A12" s="6" t="s">
        <v>26</v>
      </c>
      <c r="B12" s="7">
        <v>52.45</v>
      </c>
    </row>
    <row r="13" spans="1:2">
      <c r="A13" s="6" t="s">
        <v>52</v>
      </c>
      <c r="B13" s="7">
        <v>40.209999999999994</v>
      </c>
    </row>
    <row r="14" spans="1:2">
      <c r="A14" s="6" t="s">
        <v>95</v>
      </c>
      <c r="B14" s="7">
        <v>55.599999999999994</v>
      </c>
    </row>
    <row r="15" spans="1:2">
      <c r="A15" s="6" t="s">
        <v>24</v>
      </c>
      <c r="B15" s="7">
        <v>53.47</v>
      </c>
    </row>
    <row r="16" spans="1:2">
      <c r="A16" s="6" t="s">
        <v>29</v>
      </c>
      <c r="B16" s="7">
        <v>52.93</v>
      </c>
    </row>
    <row r="17" spans="1:2">
      <c r="A17" s="6" t="s">
        <v>57</v>
      </c>
      <c r="B17" s="7">
        <v>47.76</v>
      </c>
    </row>
    <row r="18" spans="1:2">
      <c r="A18" s="6" t="s">
        <v>31</v>
      </c>
      <c r="B18" s="7">
        <v>62.379999999999995</v>
      </c>
    </row>
    <row r="19" spans="1:2">
      <c r="A19" s="6" t="s">
        <v>49</v>
      </c>
      <c r="B19" s="7">
        <v>55.35</v>
      </c>
    </row>
    <row r="20" spans="1:2">
      <c r="A20" s="6" t="s">
        <v>44</v>
      </c>
      <c r="B20" s="7">
        <v>36.629999999999995</v>
      </c>
    </row>
    <row r="21" spans="1:2">
      <c r="A21" s="6" t="s">
        <v>80</v>
      </c>
      <c r="B21" s="7">
        <v>68.14</v>
      </c>
    </row>
    <row r="22" spans="1:2">
      <c r="A22" s="6" t="s">
        <v>82</v>
      </c>
      <c r="B22" s="7">
        <v>49.53</v>
      </c>
    </row>
    <row r="23" spans="1:2">
      <c r="A23" s="6" t="s">
        <v>45</v>
      </c>
      <c r="B23" s="7">
        <v>70.900000000000006</v>
      </c>
    </row>
    <row r="24" spans="1:2">
      <c r="A24" s="6" t="s">
        <v>35</v>
      </c>
      <c r="B24" s="7">
        <v>72.12</v>
      </c>
    </row>
    <row r="25" spans="1:2">
      <c r="A25" s="6" t="s">
        <v>34</v>
      </c>
      <c r="B25" s="7">
        <v>55.3</v>
      </c>
    </row>
    <row r="26" spans="1:2">
      <c r="A26" s="6" t="s">
        <v>85</v>
      </c>
      <c r="B26" s="7">
        <v>53.04</v>
      </c>
    </row>
    <row r="27" spans="1:2">
      <c r="A27" s="6" t="s">
        <v>48</v>
      </c>
      <c r="B27" s="7">
        <v>65.72</v>
      </c>
    </row>
    <row r="28" spans="1:2">
      <c r="A28" s="6" t="s">
        <v>50</v>
      </c>
      <c r="B28" s="7">
        <v>46.64</v>
      </c>
    </row>
    <row r="29" spans="1:2">
      <c r="A29" s="6" t="s">
        <v>55</v>
      </c>
      <c r="B29" s="7">
        <v>69.84</v>
      </c>
    </row>
    <row r="30" spans="1:2">
      <c r="A30" s="6" t="s">
        <v>60</v>
      </c>
      <c r="B30" s="7">
        <v>39.239999999999995</v>
      </c>
    </row>
    <row r="31" spans="1:2">
      <c r="A31" s="6" t="s">
        <v>70</v>
      </c>
      <c r="B31" s="7">
        <v>73.570000000000007</v>
      </c>
    </row>
    <row r="32" spans="1:2">
      <c r="A32" s="6" t="s">
        <v>36</v>
      </c>
      <c r="B32" s="7">
        <v>65.080000000000013</v>
      </c>
    </row>
    <row r="33" spans="1:2">
      <c r="A33" s="6" t="s">
        <v>94</v>
      </c>
      <c r="B33" s="7">
        <v>72.44</v>
      </c>
    </row>
    <row r="34" spans="1:2">
      <c r="A34" s="6" t="s">
        <v>58</v>
      </c>
      <c r="B34" s="7">
        <v>78.34</v>
      </c>
    </row>
    <row r="35" spans="1:2">
      <c r="A35" s="6" t="s">
        <v>81</v>
      </c>
      <c r="B35" s="7">
        <v>68.22</v>
      </c>
    </row>
    <row r="36" spans="1:2">
      <c r="A36" s="6" t="s">
        <v>62</v>
      </c>
      <c r="B36" s="7">
        <v>62.959999999999994</v>
      </c>
    </row>
    <row r="37" spans="1:2">
      <c r="A37" s="6" t="s">
        <v>25</v>
      </c>
      <c r="B37" s="7">
        <v>47.73</v>
      </c>
    </row>
    <row r="38" spans="1:2">
      <c r="A38" s="6" t="s">
        <v>83</v>
      </c>
      <c r="B38" s="7">
        <v>50.79</v>
      </c>
    </row>
    <row r="39" spans="1:2">
      <c r="A39" s="6" t="s">
        <v>97</v>
      </c>
      <c r="B39" s="7">
        <v>49.42</v>
      </c>
    </row>
    <row r="40" spans="1:2">
      <c r="A40" s="6" t="s">
        <v>38</v>
      </c>
      <c r="B40" s="7">
        <v>79.77000000000001</v>
      </c>
    </row>
    <row r="41" spans="1:2">
      <c r="A41" s="6" t="s">
        <v>76</v>
      </c>
      <c r="B41" s="7">
        <v>55.959999999999994</v>
      </c>
    </row>
    <row r="42" spans="1:2">
      <c r="A42" s="6" t="s">
        <v>79</v>
      </c>
      <c r="B42" s="7">
        <v>52.79</v>
      </c>
    </row>
    <row r="43" spans="1:2">
      <c r="A43" s="6" t="s">
        <v>40</v>
      </c>
      <c r="B43" s="7">
        <v>51.75</v>
      </c>
    </row>
    <row r="44" spans="1:2">
      <c r="A44" s="6" t="s">
        <v>67</v>
      </c>
      <c r="B44" s="7">
        <v>56.769999999999996</v>
      </c>
    </row>
    <row r="45" spans="1:2">
      <c r="A45" s="6" t="s">
        <v>30</v>
      </c>
      <c r="B45" s="7">
        <v>82.76</v>
      </c>
    </row>
    <row r="46" spans="1:2">
      <c r="A46" s="6" t="s">
        <v>65</v>
      </c>
      <c r="B46" s="7">
        <v>49.39</v>
      </c>
    </row>
    <row r="47" spans="1:2">
      <c r="A47" s="6" t="s">
        <v>46</v>
      </c>
      <c r="B47" s="7">
        <v>61.36</v>
      </c>
    </row>
    <row r="48" spans="1:2">
      <c r="A48" s="6" t="s">
        <v>47</v>
      </c>
      <c r="B48" s="7">
        <v>52.989999999999995</v>
      </c>
    </row>
    <row r="49" spans="1:2">
      <c r="A49" s="6" t="s">
        <v>73</v>
      </c>
      <c r="B49" s="7">
        <v>50.120000000000005</v>
      </c>
    </row>
    <row r="50" spans="1:2">
      <c r="A50" s="6" t="s">
        <v>51</v>
      </c>
      <c r="B50" s="7">
        <v>68.72999999999999</v>
      </c>
    </row>
    <row r="51" spans="1:2">
      <c r="A51" s="6" t="s">
        <v>53</v>
      </c>
      <c r="B51" s="7">
        <v>55.14</v>
      </c>
    </row>
    <row r="52" spans="1:2">
      <c r="A52" s="6" t="s">
        <v>98</v>
      </c>
      <c r="B52" s="7">
        <v>51.17</v>
      </c>
    </row>
    <row r="53" spans="1:2">
      <c r="A53" s="6" t="s">
        <v>72</v>
      </c>
      <c r="B53" s="7">
        <v>62.800000000000004</v>
      </c>
    </row>
    <row r="54" spans="1:2">
      <c r="A54" s="6" t="s">
        <v>93</v>
      </c>
      <c r="B54" s="7">
        <v>53.89</v>
      </c>
    </row>
    <row r="55" spans="1:2">
      <c r="A55" s="6" t="s">
        <v>64</v>
      </c>
      <c r="B55" s="7">
        <v>48.68</v>
      </c>
    </row>
    <row r="56" spans="1:2">
      <c r="A56" s="6" t="s">
        <v>77</v>
      </c>
      <c r="B56" s="7">
        <v>70.19</v>
      </c>
    </row>
    <row r="57" spans="1:2">
      <c r="A57" s="6" t="s">
        <v>59</v>
      </c>
      <c r="B57" s="7">
        <v>71.39</v>
      </c>
    </row>
    <row r="58" spans="1:2">
      <c r="A58" s="6" t="s">
        <v>37</v>
      </c>
      <c r="B58" s="7">
        <v>73.990000000000009</v>
      </c>
    </row>
    <row r="59" spans="1:2">
      <c r="A59" s="6" t="s">
        <v>68</v>
      </c>
      <c r="B59" s="7">
        <v>57.089999999999996</v>
      </c>
    </row>
    <row r="60" spans="1:2">
      <c r="A60" s="6" t="s">
        <v>89</v>
      </c>
      <c r="B60" s="7">
        <v>47.63</v>
      </c>
    </row>
    <row r="61" spans="1:2">
      <c r="A61" s="6" t="s">
        <v>39</v>
      </c>
      <c r="B61" s="7">
        <v>58.3</v>
      </c>
    </row>
    <row r="62" spans="1:2">
      <c r="A62" s="6" t="s">
        <v>43</v>
      </c>
      <c r="B62" s="7">
        <v>49.72</v>
      </c>
    </row>
    <row r="63" spans="1:2">
      <c r="A63" s="6" t="s">
        <v>86</v>
      </c>
      <c r="B63" s="7">
        <v>68.17</v>
      </c>
    </row>
    <row r="64" spans="1:2">
      <c r="A64" s="6" t="s">
        <v>61</v>
      </c>
      <c r="B64" s="7">
        <v>55.83</v>
      </c>
    </row>
    <row r="65" spans="1:2">
      <c r="A65" s="6" t="s">
        <v>84</v>
      </c>
      <c r="B65" s="7">
        <v>63.949999999999996</v>
      </c>
    </row>
    <row r="66" spans="1:2">
      <c r="A66" s="6" t="s">
        <v>69</v>
      </c>
      <c r="B66" s="7">
        <v>51.07</v>
      </c>
    </row>
    <row r="67" spans="1:2">
      <c r="A67" s="6" t="s">
        <v>71</v>
      </c>
      <c r="B67" s="7">
        <v>55.17</v>
      </c>
    </row>
    <row r="68" spans="1:2">
      <c r="A68" s="6" t="s">
        <v>90</v>
      </c>
      <c r="B68" s="7">
        <v>51.099999999999994</v>
      </c>
    </row>
    <row r="69" spans="1:2">
      <c r="A69" s="6" t="s">
        <v>32</v>
      </c>
      <c r="B69" s="7">
        <v>60.61</v>
      </c>
    </row>
    <row r="70" spans="1:2">
      <c r="A70" s="6" t="s">
        <v>54</v>
      </c>
      <c r="B70" s="7">
        <v>77.099999999999994</v>
      </c>
    </row>
    <row r="71" spans="1:2">
      <c r="A71" s="6" t="s">
        <v>19</v>
      </c>
      <c r="B71" s="7">
        <v>63.95</v>
      </c>
    </row>
    <row r="72" spans="1:2">
      <c r="A72" s="6" t="s">
        <v>63</v>
      </c>
      <c r="B72" s="7">
        <v>50.63</v>
      </c>
    </row>
    <row r="73" spans="1:2">
      <c r="A73" s="6" t="s">
        <v>91</v>
      </c>
      <c r="B73" s="7">
        <v>53.78</v>
      </c>
    </row>
    <row r="74" spans="1:2">
      <c r="A74" s="6" t="s">
        <v>92</v>
      </c>
      <c r="B74" s="7">
        <v>51.980000000000004</v>
      </c>
    </row>
    <row r="75" spans="1:2">
      <c r="A75" s="6" t="s">
        <v>106</v>
      </c>
      <c r="B75" s="7">
        <v>4165.0999999999995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3" sqref="A3"/>
    </sheetView>
  </sheetViews>
  <sheetFormatPr defaultRowHeight="14.25"/>
  <cols>
    <col min="1" max="1" width="13.125" customWidth="1"/>
    <col min="2" max="2" width="15.5" customWidth="1"/>
  </cols>
  <sheetData>
    <row r="3" spans="1:2">
      <c r="A3" s="5" t="s">
        <v>105</v>
      </c>
      <c r="B3" t="s">
        <v>112</v>
      </c>
    </row>
    <row r="4" spans="1:2">
      <c r="A4" s="6" t="s">
        <v>21</v>
      </c>
      <c r="B4" s="7">
        <v>729.62000000000023</v>
      </c>
    </row>
    <row r="5" spans="1:2">
      <c r="A5" s="6" t="s">
        <v>22</v>
      </c>
      <c r="B5" s="7">
        <v>704.74000000000012</v>
      </c>
    </row>
    <row r="6" spans="1:2">
      <c r="A6" s="6" t="s">
        <v>23</v>
      </c>
      <c r="B6" s="7">
        <v>697.09999999999991</v>
      </c>
    </row>
    <row r="7" spans="1:2">
      <c r="A7" s="6" t="s">
        <v>106</v>
      </c>
      <c r="B7" s="7">
        <v>2131.46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I2" sqref="I2"/>
    </sheetView>
  </sheetViews>
  <sheetFormatPr defaultRowHeight="14.25"/>
  <cols>
    <col min="1" max="1" width="13.125" customWidth="1"/>
    <col min="2" max="2" width="22.375" customWidth="1"/>
  </cols>
  <sheetData>
    <row r="3" spans="1:2">
      <c r="A3" s="5" t="s">
        <v>105</v>
      </c>
      <c r="B3" t="s">
        <v>113</v>
      </c>
    </row>
    <row r="4" spans="1:2">
      <c r="A4" s="6" t="s">
        <v>21</v>
      </c>
      <c r="B4" s="7">
        <v>77.3</v>
      </c>
    </row>
    <row r="5" spans="1:2">
      <c r="A5" s="6" t="s">
        <v>22</v>
      </c>
      <c r="B5" s="7">
        <v>66.400000000000006</v>
      </c>
    </row>
    <row r="6" spans="1:2">
      <c r="A6" s="6" t="s">
        <v>23</v>
      </c>
      <c r="B6" s="7">
        <v>74.3</v>
      </c>
    </row>
    <row r="7" spans="1:2">
      <c r="A7" s="6" t="s">
        <v>106</v>
      </c>
      <c r="B7" s="7">
        <v>218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heetViews>
  <sheetFormatPr defaultRowHeight="14.25"/>
  <cols>
    <col min="1" max="1" width="13.125" customWidth="1"/>
    <col min="2" max="2" width="25.625" customWidth="1"/>
  </cols>
  <sheetData>
    <row r="3" spans="1:2">
      <c r="A3" s="5" t="s">
        <v>105</v>
      </c>
      <c r="B3" t="s">
        <v>114</v>
      </c>
    </row>
    <row r="4" spans="1:2">
      <c r="A4" s="6" t="s">
        <v>78</v>
      </c>
      <c r="B4" s="7">
        <v>1524.15</v>
      </c>
    </row>
    <row r="5" spans="1:2">
      <c r="A5" s="6" t="s">
        <v>56</v>
      </c>
      <c r="B5" s="7">
        <v>9851.07</v>
      </c>
    </row>
    <row r="6" spans="1:2">
      <c r="A6" s="6" t="s">
        <v>33</v>
      </c>
      <c r="B6" s="7">
        <v>7118.5</v>
      </c>
    </row>
    <row r="7" spans="1:2">
      <c r="A7" s="6" t="s">
        <v>20</v>
      </c>
      <c r="B7" s="7">
        <v>816.93</v>
      </c>
    </row>
    <row r="8" spans="1:2">
      <c r="A8" s="6" t="s">
        <v>75</v>
      </c>
      <c r="B8" s="7">
        <v>3199.32</v>
      </c>
    </row>
    <row r="9" spans="1:2">
      <c r="A9" s="6" t="s">
        <v>27</v>
      </c>
      <c r="B9" s="7">
        <v>3101.85</v>
      </c>
    </row>
    <row r="10" spans="1:2">
      <c r="A10" s="6" t="s">
        <v>106</v>
      </c>
      <c r="B10" s="7">
        <v>25611.82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heetViews>
  <sheetFormatPr defaultRowHeight="14.25"/>
  <cols>
    <col min="1" max="1" width="13.125" customWidth="1"/>
    <col min="2" max="2" width="18.125" customWidth="1"/>
  </cols>
  <sheetData>
    <row r="3" spans="1:2">
      <c r="A3" s="5" t="s">
        <v>105</v>
      </c>
      <c r="B3" t="s">
        <v>115</v>
      </c>
    </row>
    <row r="4" spans="1:2">
      <c r="A4" s="6">
        <v>2021</v>
      </c>
      <c r="B4" s="7">
        <v>5444171</v>
      </c>
    </row>
    <row r="5" spans="1:2">
      <c r="A5" s="6">
        <v>2022</v>
      </c>
      <c r="B5" s="7">
        <v>8787372</v>
      </c>
    </row>
    <row r="6" spans="1:2">
      <c r="A6" s="6">
        <v>2023</v>
      </c>
      <c r="B6" s="7">
        <v>8532186</v>
      </c>
    </row>
    <row r="7" spans="1:2">
      <c r="A7" s="6">
        <v>2024</v>
      </c>
      <c r="B7" s="7">
        <v>420392</v>
      </c>
    </row>
    <row r="8" spans="1:2">
      <c r="A8" s="6">
        <v>2025</v>
      </c>
      <c r="B8" s="7">
        <v>2546895</v>
      </c>
    </row>
    <row r="9" spans="1:2">
      <c r="A9" s="6">
        <v>2026</v>
      </c>
      <c r="B9" s="7">
        <v>10403663</v>
      </c>
    </row>
    <row r="10" spans="1:2">
      <c r="A10" s="6" t="s">
        <v>106</v>
      </c>
      <c r="B10" s="7">
        <v>36134679</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A10"/>
  <sheetViews>
    <sheetView workbookViewId="0">
      <selection activeCell="F4" sqref="F4"/>
    </sheetView>
  </sheetViews>
  <sheetFormatPr defaultRowHeight="14.25"/>
  <cols>
    <col min="1" max="1" width="13.125" bestFit="1" customWidth="1"/>
  </cols>
  <sheetData>
    <row r="3" spans="1:1">
      <c r="A3" s="5" t="s">
        <v>105</v>
      </c>
    </row>
    <row r="4" spans="1:1">
      <c r="A4" s="6">
        <v>2021</v>
      </c>
    </row>
    <row r="5" spans="1:1">
      <c r="A5" s="6">
        <v>2022</v>
      </c>
    </row>
    <row r="6" spans="1:1">
      <c r="A6" s="6">
        <v>2023</v>
      </c>
    </row>
    <row r="7" spans="1:1">
      <c r="A7" s="6">
        <v>2024</v>
      </c>
    </row>
    <row r="8" spans="1:1">
      <c r="A8" s="6">
        <v>2025</v>
      </c>
    </row>
    <row r="9" spans="1:1">
      <c r="A9" s="6">
        <v>2026</v>
      </c>
    </row>
    <row r="10" spans="1:1">
      <c r="A10" s="6" t="s">
        <v>106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4"/>
  <sheetViews>
    <sheetView topLeftCell="B1" workbookViewId="0">
      <selection activeCell="N18" sqref="N18"/>
    </sheetView>
  </sheetViews>
  <sheetFormatPr defaultRowHeight="14.25"/>
  <cols>
    <col min="1" max="1" width="13.5" customWidth="1"/>
    <col min="2" max="2" width="10" customWidth="1"/>
    <col min="5" max="5" width="14.25" customWidth="1"/>
    <col min="6" max="6" width="12.625" customWidth="1"/>
    <col min="7" max="7" width="14.375" customWidth="1"/>
    <col min="8" max="8" width="16.5" customWidth="1"/>
    <col min="10" max="10" width="12.625" customWidth="1"/>
    <col min="11" max="11" width="17.25" customWidth="1"/>
    <col min="13" max="13" width="9.75" customWidth="1"/>
    <col min="14" max="14" width="14.375" customWidth="1"/>
  </cols>
  <sheetData>
    <row r="1" spans="1:14">
      <c r="E1" s="3" t="s">
        <v>99</v>
      </c>
      <c r="F1" s="2">
        <v>2024</v>
      </c>
    </row>
    <row r="3" spans="1:14">
      <c r="A3" s="3" t="str" cm="1">
        <f t="array" ref="A3:A75">_xlfn.UNIQUE(country,FALSE)</f>
        <v>Country</v>
      </c>
      <c r="B3" s="3" t="s">
        <v>5</v>
      </c>
      <c r="D3" s="3" t="str" cm="1">
        <f t="array" ref="D3:D10">_xlfn.UNIQUE(year)</f>
        <v>Year</v>
      </c>
      <c r="F3" s="3" t="str" cm="1">
        <f t="array" ref="F3:F10">_xlfn.UNIQUE(region)</f>
        <v>Region</v>
      </c>
      <c r="G3" s="3" t="s">
        <v>6</v>
      </c>
      <c r="H3" s="3" t="s">
        <v>7</v>
      </c>
      <c r="J3" s="3" t="str" cm="1">
        <f t="array" ref="J3:J7">_xlfn.UNIQUE(age)</f>
        <v>Age_Group</v>
      </c>
      <c r="K3" s="3" t="s">
        <v>5</v>
      </c>
      <c r="M3" s="3" t="str" cm="1">
        <f t="array" ref="M3:M7">_xlfn.UNIQUE(age)</f>
        <v>Age_Group</v>
      </c>
      <c r="N3" s="3" t="s">
        <v>103</v>
      </c>
    </row>
    <row r="4" spans="1:14">
      <c r="A4" s="2" t="str">
        <v>USA</v>
      </c>
      <c r="B4" s="2">
        <f>SUMIFS(population,country,TABLE!A4,year,TABLE!$F$1)</f>
        <v>127650610</v>
      </c>
      <c r="D4" s="2">
        <v>2021</v>
      </c>
      <c r="F4" s="2" t="str">
        <v>North America</v>
      </c>
      <c r="G4" s="2">
        <f t="shared" ref="G4:G9" si="0">SUMIFS(male_p,region,F4,year,$F$1)</f>
        <v>472386358</v>
      </c>
      <c r="H4" s="2">
        <f t="shared" ref="H4:H9" si="1">SUMIFS(female_p,region,F4,year,$F$1)</f>
        <v>492207453</v>
      </c>
      <c r="J4" s="2" t="str">
        <v>18-39</v>
      </c>
      <c r="K4" s="2">
        <f>SUMIFS(population,age,J4,year,$F$1)</f>
        <v>7473277977</v>
      </c>
      <c r="M4" s="2" t="str">
        <v>18-39</v>
      </c>
      <c r="N4" s="2">
        <f>LOOKUP(M4,age,risk)</f>
        <v>43</v>
      </c>
    </row>
    <row r="5" spans="1:14">
      <c r="A5" s="2" t="str">
        <v>Canada</v>
      </c>
      <c r="B5" s="2">
        <f>SUMIFS(population,country,TABLE!A5,year,TABLE!$F$1)</f>
        <v>432460070</v>
      </c>
      <c r="D5" s="2">
        <v>2022</v>
      </c>
      <c r="F5" s="2" t="str">
        <v>South America</v>
      </c>
      <c r="G5" s="2">
        <f t="shared" si="0"/>
        <v>891536684</v>
      </c>
      <c r="H5" s="2">
        <f t="shared" si="1"/>
        <v>894821713</v>
      </c>
      <c r="J5" s="2" t="str">
        <v>40-59</v>
      </c>
      <c r="K5" s="2">
        <f>SUMIFS(population,age,J5,year,$F$1)</f>
        <v>6594037185</v>
      </c>
      <c r="M5" s="2" t="str">
        <v>40-59</v>
      </c>
      <c r="N5" s="2">
        <f>LOOKUP(M5,age,risk)</f>
        <v>40</v>
      </c>
    </row>
    <row r="6" spans="1:14">
      <c r="A6" s="2" t="str">
        <v>Mexico</v>
      </c>
      <c r="B6" s="2">
        <f>SUMIFS(population,country,TABLE!A6,year,TABLE!$F$1)</f>
        <v>404483131</v>
      </c>
      <c r="D6" s="2">
        <v>2023</v>
      </c>
      <c r="F6" s="2" t="str">
        <v>Europe</v>
      </c>
      <c r="G6" s="2">
        <f t="shared" si="0"/>
        <v>3379723479</v>
      </c>
      <c r="H6" s="2">
        <f t="shared" si="1"/>
        <v>3368903857</v>
      </c>
      <c r="J6" s="2" t="str">
        <v>60+</v>
      </c>
      <c r="K6" s="2">
        <f>SUMIFS(population,age,J6,year,$F$1)</f>
        <v>8213834905</v>
      </c>
      <c r="M6" s="2" t="str">
        <v>60+</v>
      </c>
      <c r="N6" s="2">
        <f>LOOKUP(M6,age,risk)</f>
        <v>58</v>
      </c>
    </row>
    <row r="7" spans="1:14">
      <c r="A7" s="2" t="str">
        <v>Brazil</v>
      </c>
      <c r="B7" s="2">
        <f>SUMIFS(population,country,TABLE!A7,year,TABLE!$F$1)</f>
        <v>258944524</v>
      </c>
      <c r="D7" s="2">
        <v>2024</v>
      </c>
      <c r="F7" s="2" t="str">
        <v>Asia</v>
      </c>
      <c r="G7" s="2">
        <f t="shared" si="0"/>
        <v>2854571363</v>
      </c>
      <c r="H7" s="2">
        <f t="shared" si="1"/>
        <v>2846835864</v>
      </c>
      <c r="J7">
        <v>0</v>
      </c>
      <c r="M7">
        <v>0</v>
      </c>
    </row>
    <row r="8" spans="1:14">
      <c r="A8" s="2" t="str">
        <v>Argentina</v>
      </c>
      <c r="B8" s="2">
        <f>SUMIFS(population,country,TABLE!A8,year,TABLE!$F$1)</f>
        <v>302709017</v>
      </c>
      <c r="D8" s="2">
        <v>2025</v>
      </c>
      <c r="F8" s="2" t="str">
        <v>Oceania</v>
      </c>
      <c r="G8" s="2">
        <f t="shared" si="0"/>
        <v>349704158</v>
      </c>
      <c r="H8" s="2">
        <f t="shared" si="1"/>
        <v>339398944</v>
      </c>
    </row>
    <row r="9" spans="1:14">
      <c r="A9" s="2" t="str">
        <v>Chile</v>
      </c>
      <c r="B9" s="2">
        <f>SUMIFS(population,country,TABLE!A9,year,TABLE!$F$1)</f>
        <v>525629365</v>
      </c>
      <c r="D9" s="2">
        <v>2026</v>
      </c>
      <c r="F9" s="2" t="str">
        <v>Africa</v>
      </c>
      <c r="G9" s="2">
        <f t="shared" si="0"/>
        <v>3212384326</v>
      </c>
      <c r="H9" s="2">
        <f t="shared" si="1"/>
        <v>3178675868</v>
      </c>
    </row>
    <row r="10" spans="1:14">
      <c r="A10" s="2" t="str">
        <v>Peru</v>
      </c>
      <c r="B10" s="2">
        <f>SUMIFS(population,country,TABLE!A10,year,TABLE!$F$1)</f>
        <v>335077150</v>
      </c>
      <c r="D10">
        <v>0</v>
      </c>
      <c r="F10">
        <v>0</v>
      </c>
    </row>
    <row r="11" spans="1:14">
      <c r="A11" s="2" t="str">
        <v>Colombia</v>
      </c>
      <c r="B11" s="2">
        <f>SUMIFS(population,country,TABLE!A11,year,TABLE!$F$1)</f>
        <v>363998341</v>
      </c>
    </row>
    <row r="12" spans="1:14" ht="15">
      <c r="A12" s="2" t="str">
        <v>UK</v>
      </c>
      <c r="B12" s="2">
        <f>SUMIFS(population,country,TABLE!A12,year,TABLE!$F$1)</f>
        <v>296699949</v>
      </c>
      <c r="D12" s="3" t="str" cm="1">
        <f t="array" ref="D12:D19">_xlfn.UNIQUE(year)</f>
        <v>Year</v>
      </c>
      <c r="E12" s="3" t="s">
        <v>100</v>
      </c>
      <c r="G12" s="3" t="str" cm="1">
        <f t="array" ref="G12:G84">_xlfn.UNIQUE(country)</f>
        <v>Country</v>
      </c>
      <c r="H12" s="3" t="s">
        <v>101</v>
      </c>
      <c r="J12" s="3" t="str" cm="1">
        <f t="array" ref="J12:J16">_xlfn.UNIQUE(age)</f>
        <v>Age_Group</v>
      </c>
      <c r="K12" s="3" t="s">
        <v>102</v>
      </c>
      <c r="M12" s="3" t="str" cm="1">
        <f t="array" ref="M12:M16">_xlfn.UNIQUE(age)</f>
        <v>Age_Group</v>
      </c>
      <c r="N12" s="4" t="s">
        <v>18</v>
      </c>
    </row>
    <row r="13" spans="1:14">
      <c r="A13" s="2" t="str">
        <v>Germany</v>
      </c>
      <c r="B13" s="2">
        <f>SUMIFS(population,country,TABLE!A13,year,TABLE!$F$1)</f>
        <v>157955383</v>
      </c>
      <c r="D13" s="2">
        <v>2021</v>
      </c>
      <c r="E13" s="2">
        <f t="shared" ref="E13:E18" si="2">SUMIFS(deaths,year,D13,year,$F$1)</f>
        <v>0</v>
      </c>
      <c r="G13" s="2" t="str">
        <v>USA</v>
      </c>
      <c r="H13" s="2">
        <f t="shared" ref="H13:H44" si="3">SUMIFS(smoking,country,G13,year,$F$1)</f>
        <v>63.95</v>
      </c>
      <c r="J13" s="2" t="str">
        <v>18-39</v>
      </c>
      <c r="K13" s="2">
        <f>SUMIFS(diabetes,age,J13,year,$F$1)</f>
        <v>729.62000000000023</v>
      </c>
      <c r="M13" s="2" t="str">
        <v>18-39</v>
      </c>
      <c r="N13" s="2">
        <f>INDEX(life,MATCH(M13,age,0))</f>
        <v>77.3</v>
      </c>
    </row>
    <row r="14" spans="1:14">
      <c r="A14" s="2" t="str">
        <v>France</v>
      </c>
      <c r="B14" s="2">
        <f>SUMIFS(population,country,TABLE!A14,year,TABLE!$F$1)</f>
        <v>247967993</v>
      </c>
      <c r="D14" s="2">
        <v>2022</v>
      </c>
      <c r="E14" s="2">
        <f t="shared" si="2"/>
        <v>0</v>
      </c>
      <c r="G14" s="2" t="str">
        <v>Canada</v>
      </c>
      <c r="H14" s="2">
        <f t="shared" si="3"/>
        <v>53.47</v>
      </c>
      <c r="J14" s="2" t="str">
        <v>40-59</v>
      </c>
      <c r="K14" s="2">
        <f>SUMIFS(diabetes,age,J14,year,$F$1)</f>
        <v>704.74000000000012</v>
      </c>
      <c r="M14" s="2" t="str">
        <v>40-59</v>
      </c>
      <c r="N14" s="2">
        <f>INDEX(life,MATCH(M14,age,0))</f>
        <v>66.400000000000006</v>
      </c>
    </row>
    <row r="15" spans="1:14">
      <c r="A15" s="2" t="str">
        <v>Italy</v>
      </c>
      <c r="B15" s="2">
        <f>SUMIFS(population,country,TABLE!A15,year,TABLE!$F$1)</f>
        <v>253472098</v>
      </c>
      <c r="D15" s="2">
        <v>2023</v>
      </c>
      <c r="E15" s="2">
        <f t="shared" si="2"/>
        <v>0</v>
      </c>
      <c r="G15" s="2" t="str">
        <v>Mexico</v>
      </c>
      <c r="H15" s="2">
        <f t="shared" si="3"/>
        <v>47.73</v>
      </c>
      <c r="J15" s="2" t="str">
        <v>60+</v>
      </c>
      <c r="K15" s="2">
        <f>SUMIFS(diabetes,age,J15,year,$F$1)</f>
        <v>697.09999999999991</v>
      </c>
      <c r="M15" s="2" t="str">
        <v>60+</v>
      </c>
      <c r="N15" s="2">
        <f>INDEX(life,MATCH(M15,age,0))</f>
        <v>74.3</v>
      </c>
    </row>
    <row r="16" spans="1:14">
      <c r="A16" s="2" t="str">
        <v>Spain</v>
      </c>
      <c r="B16" s="2">
        <f>SUMIFS(population,country,TABLE!A16,year,TABLE!$F$1)</f>
        <v>165425123</v>
      </c>
      <c r="D16" s="2">
        <v>2024</v>
      </c>
      <c r="E16" s="2">
        <f t="shared" si="2"/>
        <v>91546740</v>
      </c>
      <c r="G16" s="2" t="str">
        <v>Brazil</v>
      </c>
      <c r="H16" s="2">
        <f t="shared" si="3"/>
        <v>52.45</v>
      </c>
      <c r="J16">
        <v>0</v>
      </c>
      <c r="M16">
        <v>0</v>
      </c>
    </row>
    <row r="17" spans="1:14">
      <c r="A17" s="2" t="str">
        <v>Netherlands</v>
      </c>
      <c r="B17" s="2">
        <f>SUMIFS(population,country,TABLE!A17,year,TABLE!$F$1)</f>
        <v>409776057</v>
      </c>
      <c r="D17" s="2">
        <v>2025</v>
      </c>
      <c r="E17" s="2">
        <f t="shared" si="2"/>
        <v>0</v>
      </c>
      <c r="G17" s="2" t="str">
        <v>Argentina</v>
      </c>
      <c r="H17" s="2">
        <f t="shared" si="3"/>
        <v>62.519999999999996</v>
      </c>
    </row>
    <row r="18" spans="1:14" ht="15">
      <c r="A18" s="2" t="str">
        <v>Sweden</v>
      </c>
      <c r="B18" s="2">
        <f>SUMIFS(population,country,TABLE!A18,year,TABLE!$F$1)</f>
        <v>393159200</v>
      </c>
      <c r="D18" s="2">
        <v>2026</v>
      </c>
      <c r="E18" s="2">
        <f t="shared" si="2"/>
        <v>0</v>
      </c>
      <c r="G18" s="2" t="str">
        <v>Chile</v>
      </c>
      <c r="H18" s="2">
        <f t="shared" si="3"/>
        <v>52.93</v>
      </c>
      <c r="J18" s="3" t="str" cm="1">
        <f t="array" ref="J18:J25">_xlfn.UNIQUE(region)</f>
        <v>Region</v>
      </c>
      <c r="K18" s="4" t="s">
        <v>104</v>
      </c>
      <c r="M18" s="3" t="str" cm="1">
        <f t="array" ref="M18:M25">_xlfn.UNIQUE(year)</f>
        <v>Year</v>
      </c>
      <c r="N18" s="4" t="s">
        <v>8</v>
      </c>
    </row>
    <row r="19" spans="1:14">
      <c r="A19" s="2" t="str">
        <v>Norway</v>
      </c>
      <c r="B19" s="2">
        <f>SUMIFS(population,country,TABLE!A19,year,TABLE!$F$1)</f>
        <v>339441045</v>
      </c>
      <c r="D19">
        <v>0</v>
      </c>
      <c r="G19" s="2" t="str">
        <v>Peru</v>
      </c>
      <c r="H19" s="2">
        <f t="shared" si="3"/>
        <v>82.76</v>
      </c>
      <c r="J19" s="2" t="str">
        <v>North America</v>
      </c>
      <c r="K19" s="2">
        <f t="shared" ref="K19:K24" si="4">INDEX(health,MATCH(J19,region,0))</f>
        <v>816.93</v>
      </c>
      <c r="M19" s="2">
        <v>2021</v>
      </c>
      <c r="N19" s="2">
        <f t="shared" ref="N19:N24" si="5">_xlfn.XLOOKUP(M19,year,cases,"Not found")</f>
        <v>5444171</v>
      </c>
    </row>
    <row r="20" spans="1:14">
      <c r="A20" s="2" t="str">
        <v>Belgium</v>
      </c>
      <c r="B20" s="2">
        <f>SUMIFS(population,country,TABLE!A20,year,TABLE!$F$1)</f>
        <v>333570067</v>
      </c>
      <c r="G20" s="2" t="str">
        <v>Colombia</v>
      </c>
      <c r="H20" s="2">
        <f t="shared" si="3"/>
        <v>62.379999999999995</v>
      </c>
      <c r="J20" s="2" t="str">
        <v>South America</v>
      </c>
      <c r="K20" s="2">
        <f t="shared" si="4"/>
        <v>3101.85</v>
      </c>
      <c r="M20" s="2">
        <v>2022</v>
      </c>
      <c r="N20" s="2">
        <f t="shared" si="5"/>
        <v>8787372</v>
      </c>
    </row>
    <row r="21" spans="1:14">
      <c r="A21" s="2" t="str">
        <v>Austria</v>
      </c>
      <c r="B21" s="2">
        <f>SUMIFS(population,country,TABLE!A21,year,TABLE!$F$1)</f>
        <v>435139930</v>
      </c>
      <c r="G21" s="2" t="str">
        <v>UK</v>
      </c>
      <c r="H21" s="2">
        <f t="shared" si="3"/>
        <v>60.61</v>
      </c>
      <c r="J21" s="2" t="str">
        <v>Europe</v>
      </c>
      <c r="K21" s="2">
        <f t="shared" si="4"/>
        <v>7118.5</v>
      </c>
      <c r="M21" s="2">
        <v>2023</v>
      </c>
      <c r="N21" s="2">
        <f t="shared" si="5"/>
        <v>8532186</v>
      </c>
    </row>
    <row r="22" spans="1:14">
      <c r="A22" s="2" t="str">
        <v>Switzerland</v>
      </c>
      <c r="B22" s="2">
        <f>SUMIFS(population,country,TABLE!A22,year,TABLE!$F$1)</f>
        <v>361320978</v>
      </c>
      <c r="G22" s="2" t="str">
        <v>Germany</v>
      </c>
      <c r="H22" s="2">
        <f t="shared" si="3"/>
        <v>55.3</v>
      </c>
      <c r="J22" s="2" t="str">
        <v>Asia</v>
      </c>
      <c r="K22" s="2">
        <f t="shared" si="4"/>
        <v>9851.07</v>
      </c>
      <c r="M22" s="2">
        <v>2024</v>
      </c>
      <c r="N22" s="2">
        <f t="shared" si="5"/>
        <v>420392</v>
      </c>
    </row>
    <row r="23" spans="1:14">
      <c r="A23" s="2" t="str">
        <v>Denmark</v>
      </c>
      <c r="B23" s="2">
        <f>SUMIFS(population,country,TABLE!A23,year,TABLE!$F$1)</f>
        <v>334983307</v>
      </c>
      <c r="G23" s="2" t="str">
        <v>France</v>
      </c>
      <c r="H23" s="2">
        <f t="shared" si="3"/>
        <v>72.12</v>
      </c>
      <c r="J23" s="2" t="str">
        <v>Oceania</v>
      </c>
      <c r="K23" s="2">
        <f t="shared" si="4"/>
        <v>3199.32</v>
      </c>
      <c r="M23" s="2">
        <v>2025</v>
      </c>
      <c r="N23" s="2">
        <f t="shared" si="5"/>
        <v>2546895</v>
      </c>
    </row>
    <row r="24" spans="1:14">
      <c r="A24" s="2" t="str">
        <v>Finland</v>
      </c>
      <c r="B24" s="2">
        <f>SUMIFS(population,country,TABLE!A24,year,TABLE!$F$1)</f>
        <v>415691408</v>
      </c>
      <c r="G24" s="2" t="str">
        <v>Italy</v>
      </c>
      <c r="H24" s="2">
        <f t="shared" si="3"/>
        <v>65.080000000000013</v>
      </c>
      <c r="J24" s="2" t="str">
        <v>Africa</v>
      </c>
      <c r="K24" s="2">
        <f t="shared" si="4"/>
        <v>1524.15</v>
      </c>
      <c r="M24" s="2">
        <v>2026</v>
      </c>
      <c r="N24" s="2">
        <f t="shared" si="5"/>
        <v>10403663</v>
      </c>
    </row>
    <row r="25" spans="1:14">
      <c r="A25" s="2" t="str">
        <v>Poland</v>
      </c>
      <c r="B25" s="2">
        <f>SUMIFS(population,country,TABLE!A25,year,TABLE!$F$1)</f>
        <v>136404477</v>
      </c>
      <c r="G25" s="2" t="str">
        <v>Spain</v>
      </c>
      <c r="H25" s="2">
        <f t="shared" si="3"/>
        <v>73.990000000000009</v>
      </c>
      <c r="J25">
        <v>0</v>
      </c>
      <c r="M25">
        <v>0</v>
      </c>
    </row>
    <row r="26" spans="1:14">
      <c r="A26" s="2" t="str">
        <v>Portugal</v>
      </c>
      <c r="B26" s="2">
        <f>SUMIFS(population,country,TABLE!A26,year,TABLE!$F$1)</f>
        <v>360573339</v>
      </c>
      <c r="G26" s="2" t="str">
        <v>Netherlands</v>
      </c>
      <c r="H26" s="2">
        <f t="shared" si="3"/>
        <v>79.77000000000001</v>
      </c>
    </row>
    <row r="27" spans="1:14">
      <c r="A27" s="2" t="str">
        <v>Greece</v>
      </c>
      <c r="B27" s="2">
        <f>SUMIFS(population,country,TABLE!A27,year,TABLE!$F$1)</f>
        <v>459277723</v>
      </c>
      <c r="G27" s="2" t="str">
        <v>Sweden</v>
      </c>
      <c r="H27" s="2">
        <f t="shared" si="3"/>
        <v>58.3</v>
      </c>
    </row>
    <row r="28" spans="1:14">
      <c r="A28" s="2" t="str">
        <v>Czech Republic</v>
      </c>
      <c r="B28" s="2">
        <f>SUMIFS(population,country,TABLE!A28,year,TABLE!$F$1)</f>
        <v>215268629</v>
      </c>
      <c r="G28" s="2" t="str">
        <v>Norway</v>
      </c>
      <c r="H28" s="2">
        <f t="shared" si="3"/>
        <v>51.75</v>
      </c>
    </row>
    <row r="29" spans="1:14">
      <c r="A29" s="2" t="str">
        <v>Hungary</v>
      </c>
      <c r="B29" s="2">
        <f>SUMIFS(population,country,TABLE!A29,year,TABLE!$F$1)</f>
        <v>272542057</v>
      </c>
      <c r="G29" s="2" t="str">
        <v>Belgium</v>
      </c>
      <c r="H29" s="2">
        <f t="shared" si="3"/>
        <v>77.23</v>
      </c>
    </row>
    <row r="30" spans="1:14">
      <c r="A30" s="2" t="str">
        <v>Romania</v>
      </c>
      <c r="B30" s="2">
        <f>SUMIFS(population,country,TABLE!A30,year,TABLE!$F$1)</f>
        <v>434793610</v>
      </c>
      <c r="G30" s="2" t="str">
        <v>Austria</v>
      </c>
      <c r="H30" s="2">
        <f t="shared" si="3"/>
        <v>71.680000000000007</v>
      </c>
    </row>
    <row r="31" spans="1:14">
      <c r="A31" s="2" t="str">
        <v>Bulgaria</v>
      </c>
      <c r="B31" s="2">
        <f>SUMIFS(population,country,TABLE!A31,year,TABLE!$F$1)</f>
        <v>256475876</v>
      </c>
      <c r="G31" s="2" t="str">
        <v>Switzerland</v>
      </c>
      <c r="H31" s="2">
        <f t="shared" si="3"/>
        <v>49.72</v>
      </c>
    </row>
    <row r="32" spans="1:14">
      <c r="A32" s="2" t="str">
        <v>Russia</v>
      </c>
      <c r="B32" s="2">
        <f>SUMIFS(population,country,TABLE!A32,year,TABLE!$F$1)</f>
        <v>259553646</v>
      </c>
      <c r="G32" s="2" t="str">
        <v>Denmark</v>
      </c>
      <c r="H32" s="2">
        <f t="shared" si="3"/>
        <v>36.629999999999995</v>
      </c>
    </row>
    <row r="33" spans="1:8">
      <c r="A33" s="2" t="str">
        <v>Ukraine</v>
      </c>
      <c r="B33" s="2">
        <f>SUMIFS(population,country,TABLE!A33,year,TABLE!$F$1)</f>
        <v>209135441</v>
      </c>
      <c r="G33" s="2" t="str">
        <v>Finland</v>
      </c>
      <c r="H33" s="2">
        <f t="shared" si="3"/>
        <v>70.900000000000006</v>
      </c>
    </row>
    <row r="34" spans="1:8">
      <c r="A34" s="2" t="str">
        <v>India</v>
      </c>
      <c r="B34" s="2">
        <f>SUMIFS(population,country,TABLE!A34,year,TABLE!$F$1)</f>
        <v>326369701</v>
      </c>
      <c r="G34" s="2" t="str">
        <v>Poland</v>
      </c>
      <c r="H34" s="2">
        <f t="shared" si="3"/>
        <v>61.36</v>
      </c>
    </row>
    <row r="35" spans="1:8">
      <c r="A35" s="2" t="str">
        <v>China</v>
      </c>
      <c r="B35" s="2">
        <f>SUMIFS(population,country,TABLE!A35,year,TABLE!$F$1)</f>
        <v>279879083</v>
      </c>
      <c r="G35" s="2" t="str">
        <v>Portugal</v>
      </c>
      <c r="H35" s="2">
        <f t="shared" si="3"/>
        <v>52.989999999999995</v>
      </c>
    </row>
    <row r="36" spans="1:8">
      <c r="A36" s="2" t="str">
        <v>Japan</v>
      </c>
      <c r="B36" s="2">
        <f>SUMIFS(population,country,TABLE!A36,year,TABLE!$F$1)</f>
        <v>374631626</v>
      </c>
      <c r="G36" s="2" t="str">
        <v>Greece</v>
      </c>
      <c r="H36" s="2">
        <f t="shared" si="3"/>
        <v>65.72</v>
      </c>
    </row>
    <row r="37" spans="1:8">
      <c r="A37" s="2" t="str">
        <v>South Korea</v>
      </c>
      <c r="B37" s="2">
        <f>SUMIFS(population,country,TABLE!A37,year,TABLE!$F$1)</f>
        <v>369499204</v>
      </c>
      <c r="G37" s="2" t="str">
        <v>Czech Republic</v>
      </c>
      <c r="H37" s="2">
        <f t="shared" si="3"/>
        <v>55.35</v>
      </c>
    </row>
    <row r="38" spans="1:8">
      <c r="A38" s="2" t="str">
        <v>Indonesia</v>
      </c>
      <c r="B38" s="2">
        <f>SUMIFS(population,country,TABLE!A38,year,TABLE!$F$1)</f>
        <v>505297611</v>
      </c>
      <c r="G38" s="2" t="str">
        <v>Hungary</v>
      </c>
      <c r="H38" s="2">
        <f t="shared" si="3"/>
        <v>46.64</v>
      </c>
    </row>
    <row r="39" spans="1:8">
      <c r="A39" s="2" t="str">
        <v>Thailand</v>
      </c>
      <c r="B39" s="2">
        <f>SUMIFS(population,country,TABLE!A39,year,TABLE!$F$1)</f>
        <v>393340437</v>
      </c>
      <c r="G39" s="2" t="str">
        <v>Romania</v>
      </c>
      <c r="H39" s="2">
        <f t="shared" si="3"/>
        <v>68.72999999999999</v>
      </c>
    </row>
    <row r="40" spans="1:8">
      <c r="A40" s="2" t="str">
        <v>Malaysia</v>
      </c>
      <c r="B40" s="2">
        <f>SUMIFS(population,country,TABLE!A40,year,TABLE!$F$1)</f>
        <v>259253608</v>
      </c>
      <c r="G40" s="2" t="str">
        <v>Bulgaria</v>
      </c>
      <c r="H40" s="2">
        <f t="shared" si="3"/>
        <v>40.209999999999994</v>
      </c>
    </row>
    <row r="41" spans="1:8">
      <c r="A41" s="2" t="str">
        <v>Vietnam</v>
      </c>
      <c r="B41" s="2">
        <f>SUMIFS(population,country,TABLE!A41,year,TABLE!$F$1)</f>
        <v>418372933</v>
      </c>
      <c r="G41" s="2" t="str">
        <v>Russia</v>
      </c>
      <c r="H41" s="2">
        <f t="shared" si="3"/>
        <v>55.14</v>
      </c>
    </row>
    <row r="42" spans="1:8">
      <c r="A42" s="2" t="str">
        <v>Singapore</v>
      </c>
      <c r="B42" s="2">
        <f>SUMIFS(population,country,TABLE!A42,year,TABLE!$F$1)</f>
        <v>255241567</v>
      </c>
      <c r="G42" s="2" t="str">
        <v>Ukraine</v>
      </c>
      <c r="H42" s="2">
        <f t="shared" si="3"/>
        <v>77.099999999999994</v>
      </c>
    </row>
    <row r="43" spans="1:8">
      <c r="A43" s="2" t="str">
        <v>Philippines</v>
      </c>
      <c r="B43" s="2">
        <f>SUMIFS(population,country,TABLE!A43,year,TABLE!$F$1)</f>
        <v>325176369</v>
      </c>
      <c r="G43" s="2" t="str">
        <v>India</v>
      </c>
      <c r="H43" s="2">
        <f t="shared" si="3"/>
        <v>69.84</v>
      </c>
    </row>
    <row r="44" spans="1:8">
      <c r="A44" s="2" t="str">
        <v>Bangladesh</v>
      </c>
      <c r="B44" s="2">
        <f>SUMIFS(population,country,TABLE!A44,year,TABLE!$F$1)</f>
        <v>419625096</v>
      </c>
      <c r="G44" s="2" t="str">
        <v>China</v>
      </c>
      <c r="H44" s="2">
        <f t="shared" si="3"/>
        <v>47.76</v>
      </c>
    </row>
    <row r="45" spans="1:8">
      <c r="A45" s="2" t="str">
        <v>Pakistan</v>
      </c>
      <c r="B45" s="2">
        <f>SUMIFS(population,country,TABLE!A45,year,TABLE!$F$1)</f>
        <v>197481500</v>
      </c>
      <c r="G45" s="2" t="str">
        <v>Japan</v>
      </c>
      <c r="H45" s="2">
        <f t="shared" ref="H45:H76" si="6">SUMIFS(smoking,country,G45,year,$F$1)</f>
        <v>78.34</v>
      </c>
    </row>
    <row r="46" spans="1:8">
      <c r="A46" s="2" t="str">
        <v>Sri Lanka</v>
      </c>
      <c r="B46" s="2">
        <f>SUMIFS(population,country,TABLE!A46,year,TABLE!$F$1)</f>
        <v>315748921</v>
      </c>
      <c r="G46" s="2" t="str">
        <v>South Korea</v>
      </c>
      <c r="H46" s="2">
        <f t="shared" si="6"/>
        <v>71.39</v>
      </c>
    </row>
    <row r="47" spans="1:8">
      <c r="A47" s="2" t="str">
        <v>Turkey</v>
      </c>
      <c r="B47" s="2">
        <f>SUMIFS(population,country,TABLE!A47,year,TABLE!$F$1)</f>
        <v>110703039</v>
      </c>
      <c r="G47" s="2" t="str">
        <v>Indonesia</v>
      </c>
      <c r="H47" s="2">
        <f t="shared" si="6"/>
        <v>39.239999999999995</v>
      </c>
    </row>
    <row r="48" spans="1:8">
      <c r="A48" s="2" t="str">
        <v>Israel</v>
      </c>
      <c r="B48" s="2">
        <f>SUMIFS(population,country,TABLE!A48,year,TABLE!$F$1)</f>
        <v>330641994</v>
      </c>
      <c r="G48" s="2" t="str">
        <v>Thailand</v>
      </c>
      <c r="H48" s="2">
        <f t="shared" si="6"/>
        <v>55.83</v>
      </c>
    </row>
    <row r="49" spans="1:8">
      <c r="A49" s="2" t="str">
        <v>UAE</v>
      </c>
      <c r="B49" s="2">
        <f>SUMIFS(population,country,TABLE!A49,year,TABLE!$F$1)</f>
        <v>239681575</v>
      </c>
      <c r="G49" s="2" t="str">
        <v>Malaysia</v>
      </c>
      <c r="H49" s="2">
        <f t="shared" si="6"/>
        <v>62.959999999999994</v>
      </c>
    </row>
    <row r="50" spans="1:8">
      <c r="A50" s="2" t="str">
        <v>Saudi Arabia</v>
      </c>
      <c r="B50" s="2">
        <f>SUMIFS(population,country,TABLE!A50,year,TABLE!$F$1)</f>
        <v>259008089</v>
      </c>
      <c r="G50" s="2" t="str">
        <v>Vietnam</v>
      </c>
      <c r="H50" s="2">
        <f t="shared" si="6"/>
        <v>50.63</v>
      </c>
    </row>
    <row r="51" spans="1:8">
      <c r="A51" s="2" t="str">
        <v>Qatar</v>
      </c>
      <c r="B51" s="2">
        <f>SUMIFS(population,country,TABLE!A51,year,TABLE!$F$1)</f>
        <v>321454874</v>
      </c>
      <c r="G51" s="2" t="str">
        <v>Singapore</v>
      </c>
      <c r="H51" s="2">
        <f t="shared" si="6"/>
        <v>48.68</v>
      </c>
    </row>
    <row r="52" spans="1:8">
      <c r="A52" s="2" t="str">
        <v>Australia</v>
      </c>
      <c r="B52" s="2">
        <f>SUMIFS(population,country,TABLE!A52,year,TABLE!$F$1)</f>
        <v>273170517</v>
      </c>
      <c r="G52" s="2" t="str">
        <v>Philippines</v>
      </c>
      <c r="H52" s="2">
        <f t="shared" si="6"/>
        <v>49.39</v>
      </c>
    </row>
    <row r="53" spans="1:8">
      <c r="A53" s="2" t="str">
        <v>New Zealand</v>
      </c>
      <c r="B53" s="2">
        <f>SUMIFS(population,country,TABLE!A53,year,TABLE!$F$1)</f>
        <v>415932585</v>
      </c>
      <c r="G53" s="2" t="str">
        <v>Bangladesh</v>
      </c>
      <c r="H53" s="2">
        <f t="shared" si="6"/>
        <v>48.85</v>
      </c>
    </row>
    <row r="54" spans="1:8">
      <c r="A54" s="2" t="str">
        <v>South Africa</v>
      </c>
      <c r="B54" s="2">
        <f>SUMIFS(population,country,TABLE!A54,year,TABLE!$F$1)</f>
        <v>209140859</v>
      </c>
      <c r="G54" s="2" t="str">
        <v>Pakistan</v>
      </c>
      <c r="H54" s="2">
        <f t="shared" si="6"/>
        <v>56.769999999999996</v>
      </c>
    </row>
    <row r="55" spans="1:8">
      <c r="A55" s="2" t="str">
        <v>Nigeria</v>
      </c>
      <c r="B55" s="2">
        <f>SUMIFS(population,country,TABLE!A55,year,TABLE!$F$1)</f>
        <v>264654928</v>
      </c>
      <c r="G55" s="2" t="str">
        <v>Sri Lanka</v>
      </c>
      <c r="H55" s="2">
        <f t="shared" si="6"/>
        <v>57.089999999999996</v>
      </c>
    </row>
    <row r="56" spans="1:8">
      <c r="A56" s="2" t="str">
        <v>Egypt</v>
      </c>
      <c r="B56" s="2">
        <f>SUMIFS(population,country,TABLE!A56,year,TABLE!$F$1)</f>
        <v>378452121</v>
      </c>
      <c r="G56" s="2" t="str">
        <v>Turkey</v>
      </c>
      <c r="H56" s="2">
        <f t="shared" si="6"/>
        <v>51.07</v>
      </c>
    </row>
    <row r="57" spans="1:8">
      <c r="A57" s="2" t="str">
        <v>Kenya</v>
      </c>
      <c r="B57" s="2">
        <f>SUMIFS(population,country,TABLE!A57,year,TABLE!$F$1)</f>
        <v>377509409</v>
      </c>
      <c r="G57" s="2" t="str">
        <v>Israel</v>
      </c>
      <c r="H57" s="2">
        <f t="shared" si="6"/>
        <v>73.570000000000007</v>
      </c>
    </row>
    <row r="58" spans="1:8">
      <c r="A58" s="2" t="str">
        <v>Ethiopia</v>
      </c>
      <c r="B58" s="2">
        <f>SUMIFS(population,country,TABLE!A58,year,TABLE!$F$1)</f>
        <v>442949255</v>
      </c>
      <c r="G58" s="2" t="str">
        <v>UAE</v>
      </c>
      <c r="H58" s="2">
        <f t="shared" si="6"/>
        <v>55.17</v>
      </c>
    </row>
    <row r="59" spans="1:8">
      <c r="A59" s="2" t="str">
        <v>Morocco</v>
      </c>
      <c r="B59" s="2">
        <f>SUMIFS(population,country,TABLE!A59,year,TABLE!$F$1)</f>
        <v>191091026</v>
      </c>
      <c r="G59" s="2" t="str">
        <v>Saudi Arabia</v>
      </c>
      <c r="H59" s="2">
        <f t="shared" si="6"/>
        <v>62.800000000000004</v>
      </c>
    </row>
    <row r="60" spans="1:8">
      <c r="A60" s="2" t="str">
        <v>Tunisia</v>
      </c>
      <c r="B60" s="2">
        <f>SUMIFS(population,country,TABLE!A60,year,TABLE!$F$1)</f>
        <v>194756088</v>
      </c>
      <c r="G60" s="2" t="str">
        <v>Qatar</v>
      </c>
      <c r="H60" s="2">
        <f t="shared" si="6"/>
        <v>50.120000000000005</v>
      </c>
    </row>
    <row r="61" spans="1:8">
      <c r="A61" s="2" t="str">
        <v>Ghana</v>
      </c>
      <c r="B61" s="2">
        <f>SUMIFS(population,country,TABLE!A61,year,TABLE!$F$1)</f>
        <v>261426535</v>
      </c>
      <c r="G61" s="2" t="str">
        <v>Australia</v>
      </c>
      <c r="H61" s="2">
        <f t="shared" si="6"/>
        <v>54.77</v>
      </c>
    </row>
    <row r="62" spans="1:8">
      <c r="A62" s="2" t="str">
        <v>Tanzania</v>
      </c>
      <c r="B62" s="2">
        <f>SUMIFS(population,country,TABLE!A62,year,TABLE!$F$1)</f>
        <v>240012784</v>
      </c>
      <c r="G62" s="2" t="str">
        <v>New Zealand</v>
      </c>
      <c r="H62" s="2">
        <f t="shared" si="6"/>
        <v>55.959999999999994</v>
      </c>
    </row>
    <row r="63" spans="1:8">
      <c r="A63" s="2" t="str">
        <v>Algeria</v>
      </c>
      <c r="B63" s="2">
        <f>SUMIFS(population,country,TABLE!A63,year,TABLE!$F$1)</f>
        <v>201226927</v>
      </c>
      <c r="G63" s="2" t="str">
        <v>South Africa</v>
      </c>
      <c r="H63" s="2">
        <f t="shared" si="6"/>
        <v>70.19</v>
      </c>
    </row>
    <row r="64" spans="1:8">
      <c r="A64" s="2" t="str">
        <v>Angola</v>
      </c>
      <c r="B64" s="2">
        <f>SUMIFS(population,country,TABLE!A64,year,TABLE!$F$1)</f>
        <v>355207811</v>
      </c>
      <c r="G64" s="2" t="str">
        <v>Nigeria</v>
      </c>
      <c r="H64" s="2">
        <f t="shared" si="6"/>
        <v>52.79</v>
      </c>
    </row>
    <row r="65" spans="1:8">
      <c r="A65" s="2" t="str">
        <v>Sudan</v>
      </c>
      <c r="B65" s="2">
        <f>SUMIFS(population,country,TABLE!A65,year,TABLE!$F$1)</f>
        <v>219067365</v>
      </c>
      <c r="G65" s="2" t="str">
        <v>Egypt</v>
      </c>
      <c r="H65" s="2">
        <f t="shared" si="6"/>
        <v>68.14</v>
      </c>
    </row>
    <row r="66" spans="1:8">
      <c r="A66" s="2" t="str">
        <v>Uganda</v>
      </c>
      <c r="B66" s="2">
        <f>SUMIFS(population,country,TABLE!A66,year,TABLE!$F$1)</f>
        <v>458512499</v>
      </c>
      <c r="G66" s="2" t="str">
        <v>Kenya</v>
      </c>
      <c r="H66" s="2">
        <f t="shared" si="6"/>
        <v>68.22</v>
      </c>
    </row>
    <row r="67" spans="1:8">
      <c r="A67" s="2" t="str">
        <v>Zambia</v>
      </c>
      <c r="B67" s="2">
        <f>SUMIFS(population,country,TABLE!A67,year,TABLE!$F$1)</f>
        <v>265135882</v>
      </c>
      <c r="G67" s="2" t="str">
        <v>Ethiopia</v>
      </c>
      <c r="H67" s="2">
        <f t="shared" si="6"/>
        <v>49.53</v>
      </c>
    </row>
    <row r="68" spans="1:8">
      <c r="A68" s="2" t="str">
        <v>Zimbabwe</v>
      </c>
      <c r="B68" s="2">
        <f>SUMIFS(population,country,TABLE!A68,year,TABLE!$F$1)</f>
        <v>261280093</v>
      </c>
      <c r="G68" s="2" t="str">
        <v>Morocco</v>
      </c>
      <c r="H68" s="2">
        <f t="shared" si="6"/>
        <v>50.79</v>
      </c>
    </row>
    <row r="69" spans="1:8">
      <c r="A69" s="2" t="str">
        <v>Senegal</v>
      </c>
      <c r="B69" s="2">
        <f>SUMIFS(population,country,TABLE!A69,year,TABLE!$F$1)</f>
        <v>364161823</v>
      </c>
      <c r="G69" s="2" t="str">
        <v>Tunisia</v>
      </c>
      <c r="H69" s="2">
        <f t="shared" si="6"/>
        <v>63.949999999999996</v>
      </c>
    </row>
    <row r="70" spans="1:8">
      <c r="A70" s="2" t="str">
        <v>Ivory Coast</v>
      </c>
      <c r="B70" s="2">
        <f>SUMIFS(population,country,TABLE!A70,year,TABLE!$F$1)</f>
        <v>235747842</v>
      </c>
      <c r="G70" s="2" t="str">
        <v>Ghana</v>
      </c>
      <c r="H70" s="2">
        <f t="shared" si="6"/>
        <v>53.04</v>
      </c>
    </row>
    <row r="71" spans="1:8">
      <c r="A71" s="2" t="str">
        <v>Cameroon</v>
      </c>
      <c r="B71" s="2">
        <f>SUMIFS(population,country,TABLE!A71,year,TABLE!$F$1)</f>
        <v>397935382</v>
      </c>
      <c r="G71" s="2" t="str">
        <v>Tanzania</v>
      </c>
      <c r="H71" s="2">
        <f t="shared" si="6"/>
        <v>68.17</v>
      </c>
    </row>
    <row r="72" spans="1:8">
      <c r="A72" s="2" t="str">
        <v>Botswana</v>
      </c>
      <c r="B72" s="2">
        <f>SUMIFS(population,country,TABLE!A72,year,TABLE!$F$1)</f>
        <v>313783459</v>
      </c>
      <c r="G72" s="2" t="str">
        <v>Algeria</v>
      </c>
      <c r="H72" s="2">
        <f t="shared" si="6"/>
        <v>54.870000000000005</v>
      </c>
    </row>
    <row r="73" spans="1:8">
      <c r="A73" s="2" t="str">
        <v>Namibia</v>
      </c>
      <c r="B73" s="2">
        <f>SUMIFS(population,country,TABLE!A73,year,TABLE!$F$1)</f>
        <v>355172651</v>
      </c>
      <c r="G73" s="2" t="str">
        <v>Angola</v>
      </c>
      <c r="H73" s="2">
        <f t="shared" si="6"/>
        <v>55.75</v>
      </c>
    </row>
    <row r="74" spans="1:8">
      <c r="A74" s="2" t="str">
        <v>Rwanda</v>
      </c>
      <c r="B74" s="2">
        <f>SUMIFS(population,country,TABLE!A74,year,TABLE!$F$1)</f>
        <v>403835455</v>
      </c>
      <c r="G74" s="2" t="str">
        <v>Sudan</v>
      </c>
      <c r="H74" s="2">
        <f t="shared" si="6"/>
        <v>47.63</v>
      </c>
    </row>
    <row r="75" spans="1:8">
      <c r="A75">
        <v>0</v>
      </c>
      <c r="G75" s="2" t="str">
        <v>Uganda</v>
      </c>
      <c r="H75" s="2">
        <f t="shared" si="6"/>
        <v>51.099999999999994</v>
      </c>
    </row>
    <row r="76" spans="1:8">
      <c r="G76" s="2" t="str">
        <v>Zambia</v>
      </c>
      <c r="H76" s="2">
        <f t="shared" si="6"/>
        <v>53.78</v>
      </c>
    </row>
    <row r="77" spans="1:8">
      <c r="G77" s="2" t="str">
        <v>Zimbabwe</v>
      </c>
      <c r="H77" s="2">
        <f t="shared" ref="H77:H83" si="7">SUMIFS(smoking,country,G77,year,$F$1)</f>
        <v>51.980000000000004</v>
      </c>
    </row>
    <row r="78" spans="1:8">
      <c r="G78" s="2" t="str">
        <v>Senegal</v>
      </c>
      <c r="H78" s="2">
        <f t="shared" si="7"/>
        <v>53.89</v>
      </c>
    </row>
    <row r="79" spans="1:8">
      <c r="G79" s="2" t="str">
        <v>Ivory Coast</v>
      </c>
      <c r="H79" s="2">
        <f t="shared" si="7"/>
        <v>72.44</v>
      </c>
    </row>
    <row r="80" spans="1:8">
      <c r="G80" s="2" t="str">
        <v>Cameroon</v>
      </c>
      <c r="H80" s="2">
        <f t="shared" si="7"/>
        <v>55.599999999999994</v>
      </c>
    </row>
    <row r="81" spans="7:8">
      <c r="G81" s="2" t="str">
        <v>Botswana</v>
      </c>
      <c r="H81" s="2">
        <f t="shared" si="7"/>
        <v>57.910000000000004</v>
      </c>
    </row>
    <row r="82" spans="7:8">
      <c r="G82" s="2" t="str">
        <v>Namibia</v>
      </c>
      <c r="H82" s="2">
        <f t="shared" si="7"/>
        <v>49.42</v>
      </c>
    </row>
    <row r="83" spans="7:8">
      <c r="G83" s="2" t="str">
        <v>Rwanda</v>
      </c>
      <c r="H83" s="2">
        <f t="shared" si="7"/>
        <v>51.17</v>
      </c>
    </row>
    <row r="84" spans="7:8">
      <c r="G84" s="2">
        <v>0</v>
      </c>
      <c r="H84" s="2"/>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85" zoomScaleNormal="85" workbookViewId="0">
      <selection activeCell="U10" sqref="U10"/>
    </sheetView>
  </sheetViews>
  <sheetFormatPr defaultRowHeight="14.25"/>
  <sheetData/>
  <pageMargins left="0.7" right="0.7" top="0.75" bottom="0.75" header="0.3" footer="0.3"/>
  <pageSetup fitToWidth="0" fitToHeight="0" orientation="portrait" r:id="rId1"/>
  <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19</vt:i4>
      </vt:variant>
    </vt:vector>
  </HeadingPairs>
  <TitlesOfParts>
    <vt:vector size="32" baseType="lpstr">
      <vt:lpstr>global_cvd_burden</vt:lpstr>
      <vt:lpstr>population</vt:lpstr>
      <vt:lpstr>M&amp;F</vt:lpstr>
      <vt:lpstr>Age</vt:lpstr>
      <vt:lpstr>Risk</vt:lpstr>
      <vt:lpstr>Smoking</vt:lpstr>
      <vt:lpstr>Diabetes</vt:lpstr>
      <vt:lpstr>Life</vt:lpstr>
      <vt:lpstr>Health</vt:lpstr>
      <vt:lpstr>CVD</vt:lpstr>
      <vt:lpstr>YEAR</vt:lpstr>
      <vt:lpstr>TABLE</vt:lpstr>
      <vt:lpstr>Dashboard</vt:lpstr>
      <vt:lpstr>age</vt:lpstr>
      <vt:lpstr>cases</vt:lpstr>
      <vt:lpstr>country</vt:lpstr>
      <vt:lpstr>deaths</vt:lpstr>
      <vt:lpstr>diabetes</vt:lpstr>
      <vt:lpstr>female_p</vt:lpstr>
      <vt:lpstr>health</vt:lpstr>
      <vt:lpstr>hypertension</vt:lpstr>
      <vt:lpstr>ID</vt:lpstr>
      <vt:lpstr>life</vt:lpstr>
      <vt:lpstr>male_p</vt:lpstr>
      <vt:lpstr>obesity</vt:lpstr>
      <vt:lpstr>physical</vt:lpstr>
      <vt:lpstr>population</vt:lpstr>
      <vt:lpstr>prevalence</vt:lpstr>
      <vt:lpstr>region</vt:lpstr>
      <vt:lpstr>risk</vt:lpstr>
      <vt:lpstr>smoking</vt:lpstr>
      <vt:lpstr>year</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Thirisha.S</dc:creator>
  <cp:lastModifiedBy>Dhana</cp:lastModifiedBy>
  <dcterms:created xsi:type="dcterms:W3CDTF">2026-03-19T05:02:47Z</dcterms:created>
  <dcterms:modified xsi:type="dcterms:W3CDTF">2026-03-20T14:00:53Z</dcterms:modified>
</cp:coreProperties>
</file>